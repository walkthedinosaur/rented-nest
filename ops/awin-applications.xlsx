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plica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<sst xmlns="http://schemas.openxmlformats.org/spreadsheetml/2006/main" count="144" uniqueCount="72">
  <si>
    <t xml:space="preserve">The Rented Nest – Awin applications</t>
  </si>
  <si>
    <t xml:space="preserve">Applied 12 Oct 2026. Update Status and Date decided as retailers respond (yellow columns).</t>
  </si>
  <si>
    <t xml:space="preserve">#</t>
  </si>
  <si>
    <t xml:space="preserve">Retailer</t>
  </si>
  <si>
    <t xml:space="preserve">Awin ID</t>
  </si>
  <si>
    <t xml:space="preserve">Commission</t>
  </si>
  <si>
    <t xml:space="preserve">Tracking window (days)</t>
  </si>
  <si>
    <t xml:space="preserve">Guides they'd go in</t>
  </si>
  <si>
    <t xml:space="preserve">Applied by</t>
  </si>
  <si>
    <t xml:space="preserve">Date applied</t>
  </si>
  <si>
    <t xml:space="preserve">Status</t>
  </si>
  <si>
    <t xml:space="preserve">Date decided</t>
  </si>
  <si>
    <t xml:space="preserve">Notes</t>
  </si>
  <si>
    <t xml:space="preserve">Ebac</t>
  </si>
  <si>
    <t xml:space="preserve">5%</t>
  </si>
  <si>
    <t xml:space="preserve">Dehumidifiers</t>
  </si>
  <si>
    <t xml:space="preserve">Claude</t>
  </si>
  <si>
    <t xml:space="preserve">2026-10-12</t>
  </si>
  <si>
    <t xml:space="preserve">Pending</t>
  </si>
  <si>
    <t xml:space="preserve">Meaco UK</t>
  </si>
  <si>
    <t xml:space="preserve">4% (6% at high volume)</t>
  </si>
  <si>
    <t xml:space="preserve">Dehumidifiers, staying warm</t>
  </si>
  <si>
    <t xml:space="preserve">Dimplex UK</t>
  </si>
  <si>
    <t xml:space="preserve">Up to 5%</t>
  </si>
  <si>
    <t xml:space="preserve">Staying warm</t>
  </si>
  <si>
    <t xml:space="preserve">Beldray</t>
  </si>
  <si>
    <t xml:space="preserve">Heated airers</t>
  </si>
  <si>
    <t xml:space="preserve">Must tag @Beldrayuk on social posts to get 5%</t>
  </si>
  <si>
    <t xml:space="preserve">Pro Breeze</t>
  </si>
  <si>
    <t xml:space="preserve">Not shown</t>
  </si>
  <si>
    <t xml:space="preserve">Reviews members for fit; inactive after 6 months reviewed</t>
  </si>
  <si>
    <t xml:space="preserve">VonHaus</t>
  </si>
  <si>
    <t xml:space="preserve">Staying warm, heated airers</t>
  </si>
  <si>
    <t xml:space="preserve">AO.com</t>
  </si>
  <si>
    <t xml:space="preserve">Currys</t>
  </si>
  <si>
    <t xml:space="preserve">Dehumidifiers, staying warm, gifts</t>
  </si>
  <si>
    <t xml:space="preserve">No buy-now-pay-later publishers (not us)</t>
  </si>
  <si>
    <t xml:space="preserve">Robert Dyas</t>
  </si>
  <si>
    <t xml:space="preserve">Heated airers, storage</t>
  </si>
  <si>
    <t xml:space="preserve">Lakeland</t>
  </si>
  <si>
    <t xml:space="preserve">2.5%</t>
  </si>
  <si>
    <t xml:space="preserve">Heated airers, gifts</t>
  </si>
  <si>
    <t xml:space="preserve">Main seller of Dry:Soon airers</t>
  </si>
  <si>
    <t xml:space="preserve">Morphy Richards UK</t>
  </si>
  <si>
    <t xml:space="preserve">Gifts, heated airers</t>
  </si>
  <si>
    <t xml:space="preserve">Wayfair UK</t>
  </si>
  <si>
    <t xml:space="preserve">Storage, living room</t>
  </si>
  <si>
    <t xml:space="preserve">Dylan</t>
  </si>
  <si>
    <t xml:space="preserve">La Redoute UK</t>
  </si>
  <si>
    <t xml:space="preserve">Living room</t>
  </si>
  <si>
    <t xml:space="preserve">Homebase</t>
  </si>
  <si>
    <t xml:space="preserve">Storage, staying warm</t>
  </si>
  <si>
    <t xml:space="preserve">The Range</t>
  </si>
  <si>
    <t xml:space="preserve">2%</t>
  </si>
  <si>
    <t xml:space="preserve">Storage, gifts</t>
  </si>
  <si>
    <t xml:space="preserve">Swyft Home</t>
  </si>
  <si>
    <t xml:space="preserve">Living room (sofas, sofa beds)</t>
  </si>
  <si>
    <t xml:space="preserve">Silentnight</t>
  </si>
  <si>
    <t xml:space="preserve">Staying warm (electric blankets)</t>
  </si>
  <si>
    <t xml:space="preserve">Not On The High Street</t>
  </si>
  <si>
    <t xml:space="preserve">Gift guides</t>
  </si>
  <si>
    <t xml:space="preserve">very.co.uk</t>
  </si>
  <si>
    <t xml:space="preserve">0.5–4% on electricals</t>
  </si>
  <si>
    <t xml:space="preserve">Appliances, gifts</t>
  </si>
  <si>
    <t xml:space="preserve">Rate depends on new/existing and cash/credit customer</t>
  </si>
  <si>
    <t xml:space="preserve">AnyVan</t>
  </si>
  <si>
    <t xml:space="preserve">Future moving-house guide</t>
  </si>
  <si>
    <t xml:space="preserve">Terms checked: content/social allowed</t>
  </si>
  <si>
    <t xml:space="preserve">Approved</t>
  </si>
  <si>
    <t xml:space="preserve">Rejected</t>
  </si>
  <si>
    <t xml:space="preserve">Total</t>
  </si>
  <si>
    <t xml:space="preserve">Source: commission rates and tracking windows from each retailer's Awin programme profile and terms PDF, read 12 Oct 2026. 'Not shown' = rate not stated in the terms; Awin shows it after approval. Blue = figures taken from retailer terms.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</si>
</sst>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F5F45"/>
        <bgColor rgb="FF6666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F5F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32"/>
    <col collapsed="false" customWidth="true" hidden="false" outlineLevel="0" max="7" min="7" style="0" width="11"/>
    <col collapsed="false" customWidth="true" hidden="false" outlineLevel="0" max="9" min="8" style="0" width="12"/>
    <col collapsed="false" customWidth="true" hidden="false" outlineLevel="0" max="10" min="10" style="0" width="13"/>
    <col collapsed="false" customWidth="true" hidden="false" outlineLevel="0" max="11" min="11" style="0" width="4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9.5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n">
        <v>1</v>
      </c>
      <c r="B5" s="4" t="s">
        <v>13</v>
      </c>
      <c r="C5" s="4" t="n">
        <v>73251</v>
      </c>
      <c r="D5" s="5" t="s">
        <v>14</v>
      </c>
      <c r="E5" s="5" t="n">
        <v>30</v>
      </c>
      <c r="F5" s="4" t="s">
        <v>15</v>
      </c>
      <c r="G5" s="4" t="s">
        <v>16</v>
      </c>
      <c r="H5" s="4" t="s">
        <v>17</v>
      </c>
      <c r="I5" s="6" t="s">
        <v>18</v>
      </c>
      <c r="J5" s="6"/>
      <c r="K5" s="4"/>
    </row>
    <row r="6" customFormat="false" ht="15" hidden="false" customHeight="false" outlineLevel="0" collapsed="false">
      <c r="A6" s="4" t="n">
        <v>2</v>
      </c>
      <c r="B6" s="4" t="s">
        <v>19</v>
      </c>
      <c r="C6" s="4" t="n">
        <v>31711</v>
      </c>
      <c r="D6" s="5" t="s">
        <v>20</v>
      </c>
      <c r="E6" s="5" t="n">
        <v>30</v>
      </c>
      <c r="F6" s="4" t="s">
        <v>21</v>
      </c>
      <c r="G6" s="4" t="s">
        <v>16</v>
      </c>
      <c r="H6" s="4" t="s">
        <v>17</v>
      </c>
      <c r="I6" s="6" t="s">
        <v>18</v>
      </c>
      <c r="J6" s="6"/>
      <c r="K6" s="4"/>
    </row>
    <row r="7" customFormat="false" ht="15" hidden="false" customHeight="false" outlineLevel="0" collapsed="false">
      <c r="A7" s="4" t="n">
        <v>3</v>
      </c>
      <c r="B7" s="4" t="s">
        <v>22</v>
      </c>
      <c r="C7" s="4" t="n">
        <v>130445</v>
      </c>
      <c r="D7" s="5" t="s">
        <v>23</v>
      </c>
      <c r="E7" s="5" t="n">
        <v>30</v>
      </c>
      <c r="F7" s="4" t="s">
        <v>24</v>
      </c>
      <c r="G7" s="4" t="s">
        <v>16</v>
      </c>
      <c r="H7" s="4" t="s">
        <v>17</v>
      </c>
      <c r="I7" s="6" t="s">
        <v>18</v>
      </c>
      <c r="J7" s="6"/>
      <c r="K7" s="4"/>
    </row>
    <row r="8" customFormat="false" ht="15" hidden="false" customHeight="false" outlineLevel="0" collapsed="false">
      <c r="A8" s="4" t="n">
        <v>4</v>
      </c>
      <c r="B8" s="4" t="s">
        <v>25</v>
      </c>
      <c r="C8" s="4" t="n">
        <v>116389</v>
      </c>
      <c r="D8" s="5" t="s">
        <v>14</v>
      </c>
      <c r="E8" s="5" t="n">
        <v>30</v>
      </c>
      <c r="F8" s="4" t="s">
        <v>26</v>
      </c>
      <c r="G8" s="4" t="s">
        <v>16</v>
      </c>
      <c r="H8" s="4" t="s">
        <v>17</v>
      </c>
      <c r="I8" s="6" t="s">
        <v>18</v>
      </c>
      <c r="J8" s="6"/>
      <c r="K8" s="4" t="s">
        <v>27</v>
      </c>
    </row>
    <row r="9" customFormat="false" ht="23.85" hidden="false" customHeight="false" outlineLevel="0" collapsed="false">
      <c r="A9" s="4" t="n">
        <v>5</v>
      </c>
      <c r="B9" s="4" t="s">
        <v>28</v>
      </c>
      <c r="C9" s="4" t="n">
        <v>19716</v>
      </c>
      <c r="D9" s="5" t="s">
        <v>29</v>
      </c>
      <c r="E9" s="5" t="n">
        <v>30</v>
      </c>
      <c r="F9" s="4" t="s">
        <v>21</v>
      </c>
      <c r="G9" s="4" t="s">
        <v>16</v>
      </c>
      <c r="H9" s="4" t="s">
        <v>17</v>
      </c>
      <c r="I9" s="6" t="s">
        <v>18</v>
      </c>
      <c r="J9" s="6"/>
      <c r="K9" s="4" t="s">
        <v>30</v>
      </c>
    </row>
    <row r="10" customFormat="false" ht="15" hidden="false" customHeight="false" outlineLevel="0" collapsed="false">
      <c r="A10" s="4" t="n">
        <v>6</v>
      </c>
      <c r="B10" s="4" t="s">
        <v>31</v>
      </c>
      <c r="C10" s="4" t="n">
        <v>16243</v>
      </c>
      <c r="D10" s="5" t="s">
        <v>29</v>
      </c>
      <c r="E10" s="5" t="n">
        <v>30</v>
      </c>
      <c r="F10" s="4" t="s">
        <v>32</v>
      </c>
      <c r="G10" s="4" t="s">
        <v>16</v>
      </c>
      <c r="H10" s="4" t="s">
        <v>17</v>
      </c>
      <c r="I10" s="6" t="s">
        <v>18</v>
      </c>
      <c r="J10" s="6"/>
      <c r="K10" s="4"/>
    </row>
    <row r="11" customFormat="false" ht="15" hidden="false" customHeight="false" outlineLevel="0" collapsed="false">
      <c r="A11" s="4" t="n">
        <v>7</v>
      </c>
      <c r="B11" s="4" t="s">
        <v>33</v>
      </c>
      <c r="C11" s="4" t="n">
        <v>19526</v>
      </c>
      <c r="D11" s="5" t="s">
        <v>29</v>
      </c>
      <c r="E11" s="5" t="n">
        <v>30</v>
      </c>
      <c r="F11" s="4" t="s">
        <v>21</v>
      </c>
      <c r="G11" s="4" t="s">
        <v>16</v>
      </c>
      <c r="H11" s="4" t="s">
        <v>17</v>
      </c>
      <c r="I11" s="6" t="s">
        <v>18</v>
      </c>
      <c r="J11" s="6"/>
      <c r="K11" s="4"/>
    </row>
    <row r="12" customFormat="false" ht="15" hidden="false" customHeight="false" outlineLevel="0" collapsed="false">
      <c r="A12" s="4" t="n">
        <v>8</v>
      </c>
      <c r="B12" s="4" t="s">
        <v>34</v>
      </c>
      <c r="C12" s="4" t="n">
        <v>1599</v>
      </c>
      <c r="D12" s="5" t="s">
        <v>29</v>
      </c>
      <c r="E12" s="5" t="n">
        <v>30</v>
      </c>
      <c r="F12" s="4" t="s">
        <v>35</v>
      </c>
      <c r="G12" s="4" t="s">
        <v>16</v>
      </c>
      <c r="H12" s="4" t="s">
        <v>17</v>
      </c>
      <c r="I12" s="6" t="s">
        <v>18</v>
      </c>
      <c r="J12" s="6"/>
      <c r="K12" s="4" t="s">
        <v>36</v>
      </c>
    </row>
    <row r="13" customFormat="false" ht="15" hidden="false" customHeight="false" outlineLevel="0" collapsed="false">
      <c r="A13" s="4" t="n">
        <v>9</v>
      </c>
      <c r="B13" s="4" t="s">
        <v>37</v>
      </c>
      <c r="C13" s="4" t="n">
        <v>1528</v>
      </c>
      <c r="D13" s="5" t="s">
        <v>29</v>
      </c>
      <c r="E13" s="5" t="n">
        <v>30</v>
      </c>
      <c r="F13" s="4" t="s">
        <v>38</v>
      </c>
      <c r="G13" s="4" t="s">
        <v>16</v>
      </c>
      <c r="H13" s="4" t="s">
        <v>17</v>
      </c>
      <c r="I13" s="6" t="s">
        <v>18</v>
      </c>
      <c r="J13" s="6"/>
      <c r="K13" s="4"/>
    </row>
    <row r="14" customFormat="false" ht="15" hidden="false" customHeight="false" outlineLevel="0" collapsed="false">
      <c r="A14" s="4" t="n">
        <v>10</v>
      </c>
      <c r="B14" s="4" t="s">
        <v>39</v>
      </c>
      <c r="C14" s="4" t="n">
        <v>1751</v>
      </c>
      <c r="D14" s="5" t="s">
        <v>40</v>
      </c>
      <c r="E14" s="5" t="n">
        <v>15</v>
      </c>
      <c r="F14" s="4" t="s">
        <v>41</v>
      </c>
      <c r="G14" s="4" t="s">
        <v>16</v>
      </c>
      <c r="H14" s="4" t="s">
        <v>17</v>
      </c>
      <c r="I14" s="6" t="s">
        <v>18</v>
      </c>
      <c r="J14" s="6"/>
      <c r="K14" s="4" t="s">
        <v>42</v>
      </c>
    </row>
    <row r="15" customFormat="false" ht="15" hidden="false" customHeight="false" outlineLevel="0" collapsed="false">
      <c r="A15" s="4" t="n">
        <v>11</v>
      </c>
      <c r="B15" s="4" t="s">
        <v>43</v>
      </c>
      <c r="C15" s="4" t="n">
        <v>115194</v>
      </c>
      <c r="D15" s="5" t="s">
        <v>29</v>
      </c>
      <c r="E15" s="5" t="n">
        <v>30</v>
      </c>
      <c r="F15" s="4" t="s">
        <v>44</v>
      </c>
      <c r="G15" s="4" t="s">
        <v>16</v>
      </c>
      <c r="H15" s="4" t="s">
        <v>17</v>
      </c>
      <c r="I15" s="6" t="s">
        <v>18</v>
      </c>
      <c r="J15" s="6"/>
      <c r="K15" s="4"/>
    </row>
    <row r="16" customFormat="false" ht="15" hidden="false" customHeight="false" outlineLevel="0" collapsed="false">
      <c r="A16" s="4" t="n">
        <v>12</v>
      </c>
      <c r="B16" s="4" t="s">
        <v>45</v>
      </c>
      <c r="C16" s="4" t="n">
        <v>72067</v>
      </c>
      <c r="D16" s="5" t="s">
        <v>29</v>
      </c>
      <c r="E16" s="5" t="n">
        <v>14</v>
      </c>
      <c r="F16" s="4" t="s">
        <v>46</v>
      </c>
      <c r="G16" s="4" t="s">
        <v>47</v>
      </c>
      <c r="H16" s="4" t="s">
        <v>17</v>
      </c>
      <c r="I16" s="6" t="s">
        <v>18</v>
      </c>
      <c r="J16" s="6"/>
      <c r="K16" s="4"/>
    </row>
    <row r="17" customFormat="false" ht="15" hidden="false" customHeight="false" outlineLevel="0" collapsed="false">
      <c r="A17" s="4" t="n">
        <v>13</v>
      </c>
      <c r="B17" s="4" t="s">
        <v>48</v>
      </c>
      <c r="C17" s="4" t="n">
        <v>1496</v>
      </c>
      <c r="D17" s="5" t="s">
        <v>29</v>
      </c>
      <c r="E17" s="5" t="n">
        <v>21</v>
      </c>
      <c r="F17" s="4" t="s">
        <v>49</v>
      </c>
      <c r="G17" s="4" t="s">
        <v>16</v>
      </c>
      <c r="H17" s="4" t="s">
        <v>17</v>
      </c>
      <c r="I17" s="6" t="s">
        <v>18</v>
      </c>
      <c r="J17" s="6"/>
      <c r="K17" s="4"/>
    </row>
    <row r="18" customFormat="false" ht="15" hidden="false" customHeight="false" outlineLevel="0" collapsed="false">
      <c r="A18" s="4" t="n">
        <v>14</v>
      </c>
      <c r="B18" s="4" t="s">
        <v>50</v>
      </c>
      <c r="C18" s="4" t="n">
        <v>115142</v>
      </c>
      <c r="D18" s="5" t="s">
        <v>29</v>
      </c>
      <c r="E18" s="5" t="n">
        <v>30</v>
      </c>
      <c r="F18" s="4" t="s">
        <v>51</v>
      </c>
      <c r="G18" s="4" t="s">
        <v>16</v>
      </c>
      <c r="H18" s="4" t="s">
        <v>17</v>
      </c>
      <c r="I18" s="6" t="s">
        <v>18</v>
      </c>
      <c r="J18" s="6"/>
      <c r="K18" s="4"/>
    </row>
    <row r="19" customFormat="false" ht="15" hidden="false" customHeight="false" outlineLevel="0" collapsed="false">
      <c r="A19" s="4" t="n">
        <v>15</v>
      </c>
      <c r="B19" s="4" t="s">
        <v>52</v>
      </c>
      <c r="C19" s="4" t="n">
        <v>5238</v>
      </c>
      <c r="D19" s="5" t="s">
        <v>53</v>
      </c>
      <c r="E19" s="5" t="n">
        <v>30</v>
      </c>
      <c r="F19" s="4" t="s">
        <v>54</v>
      </c>
      <c r="G19" s="4" t="s">
        <v>16</v>
      </c>
      <c r="H19" s="4" t="s">
        <v>17</v>
      </c>
      <c r="I19" s="6" t="s">
        <v>18</v>
      </c>
      <c r="J19" s="6"/>
      <c r="K19" s="4"/>
    </row>
    <row r="20" customFormat="false" ht="15" hidden="false" customHeight="false" outlineLevel="0" collapsed="false">
      <c r="A20" s="4" t="n">
        <v>16</v>
      </c>
      <c r="B20" s="4" t="s">
        <v>55</v>
      </c>
      <c r="C20" s="4" t="n">
        <v>113242</v>
      </c>
      <c r="D20" s="5" t="s">
        <v>29</v>
      </c>
      <c r="E20" s="5" t="n">
        <v>30</v>
      </c>
      <c r="F20" s="4" t="s">
        <v>56</v>
      </c>
      <c r="G20" s="4" t="s">
        <v>16</v>
      </c>
      <c r="H20" s="4" t="s">
        <v>17</v>
      </c>
      <c r="I20" s="6" t="s">
        <v>18</v>
      </c>
      <c r="J20" s="6"/>
      <c r="K20" s="4"/>
    </row>
    <row r="21" customFormat="false" ht="15" hidden="false" customHeight="false" outlineLevel="0" collapsed="false">
      <c r="A21" s="4" t="n">
        <v>17</v>
      </c>
      <c r="B21" s="4" t="s">
        <v>57</v>
      </c>
      <c r="C21" s="4" t="n">
        <v>21259</v>
      </c>
      <c r="D21" s="5" t="s">
        <v>29</v>
      </c>
      <c r="E21" s="5" t="n">
        <v>30</v>
      </c>
      <c r="F21" s="4" t="s">
        <v>58</v>
      </c>
      <c r="G21" s="4" t="s">
        <v>16</v>
      </c>
      <c r="H21" s="4" t="s">
        <v>17</v>
      </c>
      <c r="I21" s="6" t="s">
        <v>18</v>
      </c>
      <c r="J21" s="6"/>
      <c r="K21" s="4"/>
    </row>
    <row r="22" customFormat="false" ht="15" hidden="false" customHeight="false" outlineLevel="0" collapsed="false">
      <c r="A22" s="4" t="n">
        <v>18</v>
      </c>
      <c r="B22" s="4" t="s">
        <v>59</v>
      </c>
      <c r="C22" s="4" t="n">
        <v>18484</v>
      </c>
      <c r="D22" s="5" t="s">
        <v>29</v>
      </c>
      <c r="E22" s="5" t="n">
        <v>30</v>
      </c>
      <c r="F22" s="4" t="s">
        <v>60</v>
      </c>
      <c r="G22" s="4" t="s">
        <v>16</v>
      </c>
      <c r="H22" s="4" t="s">
        <v>17</v>
      </c>
      <c r="I22" s="6" t="s">
        <v>18</v>
      </c>
      <c r="J22" s="6"/>
      <c r="K22" s="4"/>
    </row>
    <row r="23" customFormat="false" ht="23.85" hidden="false" customHeight="false" outlineLevel="0" collapsed="false">
      <c r="A23" s="4" t="n">
        <v>19</v>
      </c>
      <c r="B23" s="4" t="s">
        <v>61</v>
      </c>
      <c r="C23" s="4" t="n">
        <v>3090</v>
      </c>
      <c r="D23" s="5" t="s">
        <v>62</v>
      </c>
      <c r="E23" s="5" t="n">
        <v>30</v>
      </c>
      <c r="F23" s="4" t="s">
        <v>63</v>
      </c>
      <c r="G23" s="4" t="s">
        <v>16</v>
      </c>
      <c r="H23" s="4" t="s">
        <v>17</v>
      </c>
      <c r="I23" s="6" t="s">
        <v>18</v>
      </c>
      <c r="J23" s="6"/>
      <c r="K23" s="4" t="s">
        <v>64</v>
      </c>
    </row>
    <row r="24" customFormat="false" ht="15" hidden="false" customHeight="false" outlineLevel="0" collapsed="false">
      <c r="A24" s="4" t="n">
        <v>20</v>
      </c>
      <c r="B24" s="4" t="s">
        <v>65</v>
      </c>
      <c r="C24" s="4"/>
      <c r="D24" s="5" t="s">
        <v>29</v>
      </c>
      <c r="E24" s="5"/>
      <c r="F24" s="4" t="s">
        <v>66</v>
      </c>
      <c r="G24" s="4" t="s">
        <v>47</v>
      </c>
      <c r="H24" s="4" t="s">
        <v>17</v>
      </c>
      <c r="I24" s="6" t="s">
        <v>18</v>
      </c>
      <c r="J24" s="6"/>
      <c r="K24" s="4" t="s">
        <v>67</v>
      </c>
    </row>
    <row r="26" customFormat="false" ht="15" hidden="false" customHeight="false" outlineLevel="0" collapsed="false">
      <c r="H26" s="7" t="s">
        <v>18</v>
      </c>
      <c r="I26" s="8" t="n">
        <f aca="false">COUNTIF($I$5:$I$24,H26)</f>
        <v>20</v>
      </c>
    </row>
    <row r="27" customFormat="false" ht="15" hidden="false" customHeight="false" outlineLevel="0" collapsed="false">
      <c r="H27" s="7" t="s">
        <v>68</v>
      </c>
      <c r="I27" s="8" t="n">
        <f aca="false">COUNTIF($I$5:$I$24,H27)</f>
        <v>0</v>
      </c>
    </row>
    <row r="28" customFormat="false" ht="15" hidden="false" customHeight="false" outlineLevel="0" collapsed="false">
      <c r="H28" s="7" t="s">
        <v>69</v>
      </c>
      <c r="I28" s="8" t="n">
        <f aca="false">COUNTIF($I$5:$I$24,H28)</f>
        <v>0</v>
      </c>
    </row>
    <row r="29" customFormat="false" ht="15" hidden="false" customHeight="false" outlineLevel="0" collapsed="false">
      <c r="H29" s="7" t="s">
        <v>70</v>
      </c>
      <c r="I29" s="7" t="n">
        <f aca="false">COUNTA($B$5:$B$24)</f>
        <v>20</v>
      </c>
    </row>
    <row r="31" customFormat="false" ht="15" hidden="false" customHeight="false" outlineLevel="0" collapsed="false">
      <c r="A31" s="2" t="s">
        <v>71</v>
      </c>
    </row>
  </sheetData>
  <dataValidations count="1">
    <dataValidation allowBlank="false" errorStyle="stop" operator="between" showDropDown="false" showErrorMessage="false" showInputMessage="false" sqref="I5:I24" type="list">
      <formula1>"Pending,Approved,Rejected,Suspended"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2026-10-12T11:54:07Z</dcterms:created>
  <dc:creator>openpyxl</dc:creator>
  <dc:description/>
  <dc:language>en-US</dc:language>
  <cp:lastModifiedBy/>
  <dcterms:modified xsi:type="dcterms:W3CDTF">2026-10-12T11:54:07Z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