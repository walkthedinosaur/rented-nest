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Foreca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<sst xmlns="http://schemas.openxmlformats.org/spreadsheetml/2006/main" count="108" uniqueCount="85">
  <si>
    <t xml:space="preserve">Revenue forecast summary</t>
  </si>
  <si>
    <t xml:space="preserve">Commission earned per month at three points, plus totals. Target from the business plan: £10,000/month by month 24.</t>
  </si>
  <si>
    <t xml:space="preserve">Scenario</t>
  </si>
  <si>
    <t xml:space="preserve">Month 6 (Mar 2027) £/mo</t>
  </si>
  <si>
    <t xml:space="preserve">Month 12 (Sep 2027) £/mo</t>
  </si>
  <si>
    <t xml:space="preserve">Month 24 (Sep 2028) £/mo</t>
  </si>
  <si>
    <t xml:space="preserve">Year 1 total £</t>
  </si>
  <si>
    <t xml:space="preserve">Year 2 total £</t>
  </si>
  <si>
    <t xml:space="preserve">24-month net after Tailwind £</t>
  </si>
  <si>
    <t xml:space="preserve">Month 24 as % of £10k target</t>
  </si>
  <si>
    <t xml:space="preserve">Low</t>
  </si>
  <si>
    <t xml:space="preserve">Base</t>
  </si>
  <si>
    <t xml:space="preserve">High</t>
  </si>
  <si>
    <t xml:space="preserve">Target (£/month)</t>
  </si>
  <si>
    <t xml:space="preserve">Revenue forecast – assumptions</t>
  </si>
  <si>
    <t xml:space="preserve">Blue = editable inputs. Estimates, not verified benchmarks, unless the note cites a source. Months 7–24 extend the first six months' trend; nothing new is assumed beyond that.</t>
  </si>
  <si>
    <t xml:space="preserve">Driver</t>
  </si>
  <si>
    <t xml:space="preserve">Note / source</t>
  </si>
  <si>
    <t xml:space="preserve">Impressions multiplier vs base path</t>
  </si>
  <si>
    <t xml:space="preserve">Scales the monthly impressions path below. Estimate.</t>
  </si>
  <si>
    <t xml:space="preserve">Outbound click rate (impressions → site visits)</t>
  </si>
  <si>
    <t xml:space="preserve">Estimate – no verified Pinterest benchmark used.</t>
  </si>
  <si>
    <t xml:space="preserve">Site visit → affiliate link click</t>
  </si>
  <si>
    <t xml:space="preserve">Estimate.</t>
  </si>
  <si>
    <t xml:space="preserve">Amazon conversion (click → order)</t>
  </si>
  <si>
    <t xml:space="preserve">Amazon average basket (£)</t>
  </si>
  <si>
    <t xml:space="preserve">Amazon commission rate</t>
  </si>
  <si>
    <t xml:space="preserve">Estimate – check Amazon UK Associates fee schedule.</t>
  </si>
  <si>
    <t xml:space="preserve">Awin conversion (click → order)</t>
  </si>
  <si>
    <t xml:space="preserve">Awin directory, 12 Oct 2026: Meaco 1.44%, Ebac 1.51%, AO 2.02%, Currys 2.99%.</t>
  </si>
  <si>
    <t xml:space="preserve">Awin average order (£)</t>
  </si>
  <si>
    <t xml:space="preserve">Estimate – airers £55–£160, dehumidifiers £140–£350 (Which?, Oct 2026).</t>
  </si>
  <si>
    <t xml:space="preserve">Awin commission rate (blended)</t>
  </si>
  <si>
    <t xml:space="preserve">Retailer terms: Ebac 5%, Meaco 4%, Beldray 5%, Lakeland 2.5%, The Range 2%.</t>
  </si>
  <si>
    <t xml:space="preserve">Tailwind cost (£/month)</t>
  </si>
  <si>
    <t xml:space="preserve">$29.99/month plan; £ approximate.</t>
  </si>
  <si>
    <t xml:space="preserve">Base impressions added per month after Mar 2027</t>
  </si>
  <si>
    <t xml:space="preserve">Linear continuation of the Feb→Mar 2027 step (+12,000). Applies to all scenarios via the multiplier.</t>
  </si>
  <si>
    <t xml:space="preserve">Month</t>
  </si>
  <si>
    <t xml:space="preserve">Base impressions</t>
  </si>
  <si>
    <t xml:space="preserve">Share of clicks to Awin</t>
  </si>
  <si>
    <t xml:space="preserve">Seasonality (conversion)</t>
  </si>
  <si>
    <t xml:space="preserve">Note</t>
  </si>
  <si>
    <t xml:space="preserve">Oct 2026</t>
  </si>
  <si>
    <t xml:space="preserve">Part month; photo pins live from 12 Oct</t>
  </si>
  <si>
    <t xml:space="preserve">Nov 2026</t>
  </si>
  <si>
    <t xml:space="preserve">Dec 2026</t>
  </si>
  <si>
    <t xml:space="preserve">Christmas peak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</si>
  <si>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</si>
  <si>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</si>
  <si>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</si>
  <si>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</si>
  <si>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</si>
  <si>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</si>
  <si>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</si>
  <si>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</si>
  <si>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</si>
  <si>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</si>
  <si>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</si>
  <si>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</si>
  <si>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Jan 2028</t>
  </si>
  <si>
    <t xml:space="preserve">Feb 2028</t>
  </si>
  <si>
    <t xml:space="preserve">Mar 2028</t>
  </si>
  <si>
    <t xml:space="preserve">Apr 2028</t>
  </si>
  <si>
    <t xml:space="preserve">May 2028</t>
  </si>
  <si>
    <t xml:space="preserve">Jun 2028</t>
  </si>
  <si>
    <t xml:space="preserve">Jul 2028</t>
  </si>
  <si>
    <t xml:space="preserve">Aug 2028</t>
  </si>
  <si>
    <t xml:space="preserve">Sep 2028</t>
  </si>
  <si>
    <t xml:space="preserve">24-month revenue forecast – commission earned (before payout delays)</t>
  </si>
  <si>
    <t xml:space="preserve">Amazon and Awin pay weeks to months after the sale, so cash arrives later than shown.</t>
  </si>
  <si>
    <t xml:space="preserve">Low case</t>
  </si>
  <si>
    <t xml:space="preserve">Base case</t>
  </si>
  <si>
    <t xml:space="preserve">High case</t>
  </si>
  <si>
    <t xml:space="preserve">Impressions</t>
  </si>
  <si>
    <t xml:space="preserve">Site visits</t>
  </si>
  <si>
    <t xml:space="preserve">Affiliate clicks</t>
  </si>
  <si>
    <t xml:space="preserve">Amazon orders</t>
  </si>
  <si>
    <t xml:space="preserve">Awin orders</t>
  </si>
  <si>
    <t xml:space="preserve">Commission (£)</t>
  </si>
  <si>
    <t xml:space="preserve">Net after Tailwind (£)</t>
  </si>
  <si>
    <t xml:space="preserve">Cum. Amazon orders</t>
  </si>
  <si>
    <t xml:space="preserve">Year 1 (Oct 2026–Sep 2027)</t>
  </si>
  <si>
    <t xml:space="preserve">Year 2 (Oct 2027–Sep 2028)</t>
  </si>
  <si>
    <t xml:space="preserve">24 months total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</si>
</sst>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;&quot;-£&quot;#,##0"/>
    <numFmt numFmtId="166" formatCode="0.0%"/>
    <numFmt numFmtId="167" formatCode="\£#,##0"/>
    <numFmt numFmtId="168" formatCode="#,##0"/>
    <numFmt numFmtId="169" formatCode="0%"/>
    <numFmt numFmtId="170" formatCode="0.00"/>
    <numFmt numFmtId="171" formatCode="0.0"/>
    <numFmt numFmtId="172" formatCode="\£#,##0.00"/>
    <numFmt numFmtId="173" formatCode="\£#,##0.00;&quot;-£&quot;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5F45"/>
        <bgColor rgb="FF6666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5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commission by scenario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"Low"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Forecast!$A$6:$A$29</c:f>
              <c:strCache>
                <c:ptCount val="24"/>
                <c:pt idx="0">
                  <c:v>Oct 2026</c:v>
                </c:pt>
                <c:pt idx="1">
                  <c:v>Nov 2026</c:v>
                </c:pt>
                <c:pt idx="2">
                  <c:v>Dec 2026</c:v>
                </c:pt>
                <c:pt idx="3">
                  <c:v>Jan 2027</c:v>
                </c:pt>
                <c:pt idx="4">
                  <c:v>Feb 2027</c:v>
                </c:pt>
                <c:pt idx="5">
                  <c:v>Mar 2027</c:v>
                </c:pt>
                <c:pt idx="6">
                  <c:v>Apr 2027</c:v>
                </c:pt>
                <c:pt idx="7">
                  <c:v>May 2027</c:v>
                </c:pt>
                <c:pt idx="8">
                  <c:v>Jun 2027</c:v>
                </c:pt>
                <c:pt idx="9">
                  <c:v>Jul 2027</c:v>
                </c:pt>
                <c:pt idx="10">
                  <c:v>Aug 2027</c:v>
                </c:pt>
                <c:pt idx="11">
                  <c:v>Sep 2027</c:v>
                </c:pt>
                <c:pt idx="12">
                  <c:v>Oct 2027</c:v>
                </c:pt>
                <c:pt idx="13">
                  <c:v>Nov 2027</c:v>
                </c:pt>
                <c:pt idx="14">
                  <c:v>Dec 2027</c:v>
                </c:pt>
                <c:pt idx="15">
                  <c:v>Jan 2028</c:v>
                </c:pt>
                <c:pt idx="16">
                  <c:v>Feb 2028</c:v>
                </c:pt>
                <c:pt idx="17">
                  <c:v>Mar 2028</c:v>
                </c:pt>
                <c:pt idx="18">
                  <c:v>Apr 2028</c:v>
                </c:pt>
                <c:pt idx="19">
                  <c:v>May 2028</c:v>
                </c:pt>
                <c:pt idx="20">
                  <c:v>Jun 2028</c:v>
                </c:pt>
                <c:pt idx="21">
                  <c:v>Jul 2028</c:v>
                </c:pt>
                <c:pt idx="22">
                  <c:v>Aug 2028</c:v>
                </c:pt>
                <c:pt idx="23">
                  <c:v>Sep 2028</c:v>
                </c:pt>
              </c:strCache>
            </c:strRef>
          </c:cat>
          <c:val>
            <c:numRef>
              <c:f>Forecast!$G$6:$G$29</c:f>
              <c:numCache>
                <c:formatCode>\£#,##0.00</c:formatCode>
                <c:ptCount val="24"/>
                <c:pt idx="0">
                  <c:v>0.00675</c:v>
                </c:pt>
                <c:pt idx="1">
                  <c:v>0.0511434</c:v>
                </c:pt>
                <c:pt idx="2">
                  <c:v>0.1640925</c:v>
                </c:pt>
                <c:pt idx="3">
                  <c:v>0.106029</c:v>
                </c:pt>
                <c:pt idx="4">
                  <c:v>0.1438965</c:v>
                </c:pt>
                <c:pt idx="5">
                  <c:v>0.210375</c:v>
                </c:pt>
                <c:pt idx="6">
                  <c:v>0.25245</c:v>
                </c:pt>
                <c:pt idx="7">
                  <c:v>0.294525</c:v>
                </c:pt>
                <c:pt idx="8">
                  <c:v>0.3366</c:v>
                </c:pt>
                <c:pt idx="9">
                  <c:v>0.378675</c:v>
                </c:pt>
                <c:pt idx="10">
                  <c:v>0.42075</c:v>
                </c:pt>
                <c:pt idx="11">
                  <c:v>0.462825</c:v>
                </c:pt>
                <c:pt idx="12">
                  <c:v>0.5049</c:v>
                </c:pt>
                <c:pt idx="13">
                  <c:v>0.6016725</c:v>
                </c:pt>
                <c:pt idx="14">
                  <c:v>0.765765</c:v>
                </c:pt>
                <c:pt idx="15">
                  <c:v>0.5680125</c:v>
                </c:pt>
                <c:pt idx="16">
                  <c:v>0.60588</c:v>
                </c:pt>
                <c:pt idx="17">
                  <c:v>0.715275</c:v>
                </c:pt>
                <c:pt idx="18">
                  <c:v>0.75735</c:v>
                </c:pt>
                <c:pt idx="19">
                  <c:v>0.799425</c:v>
                </c:pt>
                <c:pt idx="20">
                  <c:v>0.8415</c:v>
                </c:pt>
                <c:pt idx="21">
                  <c:v>0.883575</c:v>
                </c:pt>
                <c:pt idx="22">
                  <c:v>0.92565</c:v>
                </c:pt>
                <c:pt idx="23">
                  <c:v>0.967725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Forecast!$A$6:$A$29</c:f>
              <c:strCache>
                <c:ptCount val="24"/>
                <c:pt idx="0">
                  <c:v>Oct 2026</c:v>
                </c:pt>
                <c:pt idx="1">
                  <c:v>Nov 2026</c:v>
                </c:pt>
                <c:pt idx="2">
                  <c:v>Dec 2026</c:v>
                </c:pt>
                <c:pt idx="3">
                  <c:v>Jan 2027</c:v>
                </c:pt>
                <c:pt idx="4">
                  <c:v>Feb 2027</c:v>
                </c:pt>
                <c:pt idx="5">
                  <c:v>Mar 2027</c:v>
                </c:pt>
                <c:pt idx="6">
                  <c:v>Apr 2027</c:v>
                </c:pt>
                <c:pt idx="7">
                  <c:v>May 2027</c:v>
                </c:pt>
                <c:pt idx="8">
                  <c:v>Jun 2027</c:v>
                </c:pt>
                <c:pt idx="9">
                  <c:v>Jul 2027</c:v>
                </c:pt>
                <c:pt idx="10">
                  <c:v>Aug 2027</c:v>
                </c:pt>
                <c:pt idx="11">
                  <c:v>Sep 2027</c:v>
                </c:pt>
                <c:pt idx="12">
                  <c:v>Oct 2027</c:v>
                </c:pt>
                <c:pt idx="13">
                  <c:v>Nov 2027</c:v>
                </c:pt>
                <c:pt idx="14">
                  <c:v>Dec 2027</c:v>
                </c:pt>
                <c:pt idx="15">
                  <c:v>Jan 2028</c:v>
                </c:pt>
                <c:pt idx="16">
                  <c:v>Feb 2028</c:v>
                </c:pt>
                <c:pt idx="17">
                  <c:v>Mar 2028</c:v>
                </c:pt>
                <c:pt idx="18">
                  <c:v>Apr 2028</c:v>
                </c:pt>
                <c:pt idx="19">
                  <c:v>May 2028</c:v>
                </c:pt>
                <c:pt idx="20">
                  <c:v>Jun 2028</c:v>
                </c:pt>
                <c:pt idx="21">
                  <c:v>Jul 2028</c:v>
                </c:pt>
                <c:pt idx="22">
                  <c:v>Aug 2028</c:v>
                </c:pt>
                <c:pt idx="23">
                  <c:v>Sep 2028</c:v>
                </c:pt>
              </c:strCache>
            </c:strRef>
          </c:cat>
          <c:val>
            <c:numRef>
              <c:f>Forecast!$O$6:$O$29</c:f>
              <c:numCache>
                <c:formatCode>\£#,##0.00</c:formatCode>
                <c:ptCount val="24"/>
                <c:pt idx="0">
                  <c:v>0.1575</c:v>
                </c:pt>
                <c:pt idx="1">
                  <c:v>1.18503</c:v>
                </c:pt>
                <c:pt idx="2">
                  <c:v>3.787875</c:v>
                </c:pt>
                <c:pt idx="3">
                  <c:v>2.44755</c:v>
                </c:pt>
                <c:pt idx="4">
                  <c:v>3.321675</c:v>
                </c:pt>
                <c:pt idx="5">
                  <c:v>4.85625</c:v>
                </c:pt>
                <c:pt idx="6">
                  <c:v>5.8275</c:v>
                </c:pt>
                <c:pt idx="7">
                  <c:v>6.79875</c:v>
                </c:pt>
                <c:pt idx="8">
                  <c:v>7.77</c:v>
                </c:pt>
                <c:pt idx="9">
                  <c:v>8.74125</c:v>
                </c:pt>
                <c:pt idx="10">
                  <c:v>9.7125</c:v>
                </c:pt>
                <c:pt idx="11">
                  <c:v>10.68375</c:v>
                </c:pt>
                <c:pt idx="12">
                  <c:v>11.655</c:v>
                </c:pt>
                <c:pt idx="13">
                  <c:v>13.888875</c:v>
                </c:pt>
                <c:pt idx="14">
                  <c:v>17.67675</c:v>
                </c:pt>
                <c:pt idx="15">
                  <c:v>13.111875</c:v>
                </c:pt>
                <c:pt idx="16">
                  <c:v>13.986</c:v>
                </c:pt>
                <c:pt idx="17">
                  <c:v>16.51125</c:v>
                </c:pt>
                <c:pt idx="18">
                  <c:v>17.4825</c:v>
                </c:pt>
                <c:pt idx="19">
                  <c:v>18.45375</c:v>
                </c:pt>
                <c:pt idx="20">
                  <c:v>19.425</c:v>
                </c:pt>
                <c:pt idx="21">
                  <c:v>20.39625</c:v>
                </c:pt>
                <c:pt idx="22">
                  <c:v>21.3675</c:v>
                </c:pt>
                <c:pt idx="23">
                  <c:v>22.33875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"High"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Forecast!$A$6:$A$29</c:f>
              <c:strCache>
                <c:ptCount val="24"/>
                <c:pt idx="0">
                  <c:v>Oct 2026</c:v>
                </c:pt>
                <c:pt idx="1">
                  <c:v>Nov 2026</c:v>
                </c:pt>
                <c:pt idx="2">
                  <c:v>Dec 2026</c:v>
                </c:pt>
                <c:pt idx="3">
                  <c:v>Jan 2027</c:v>
                </c:pt>
                <c:pt idx="4">
                  <c:v>Feb 2027</c:v>
                </c:pt>
                <c:pt idx="5">
                  <c:v>Mar 2027</c:v>
                </c:pt>
                <c:pt idx="6">
                  <c:v>Apr 2027</c:v>
                </c:pt>
                <c:pt idx="7">
                  <c:v>May 2027</c:v>
                </c:pt>
                <c:pt idx="8">
                  <c:v>Jun 2027</c:v>
                </c:pt>
                <c:pt idx="9">
                  <c:v>Jul 2027</c:v>
                </c:pt>
                <c:pt idx="10">
                  <c:v>Aug 2027</c:v>
                </c:pt>
                <c:pt idx="11">
                  <c:v>Sep 2027</c:v>
                </c:pt>
                <c:pt idx="12">
                  <c:v>Oct 2027</c:v>
                </c:pt>
                <c:pt idx="13">
                  <c:v>Nov 2027</c:v>
                </c:pt>
                <c:pt idx="14">
                  <c:v>Dec 2027</c:v>
                </c:pt>
                <c:pt idx="15">
                  <c:v>Jan 2028</c:v>
                </c:pt>
                <c:pt idx="16">
                  <c:v>Feb 2028</c:v>
                </c:pt>
                <c:pt idx="17">
                  <c:v>Mar 2028</c:v>
                </c:pt>
                <c:pt idx="18">
                  <c:v>Apr 2028</c:v>
                </c:pt>
                <c:pt idx="19">
                  <c:v>May 2028</c:v>
                </c:pt>
                <c:pt idx="20">
                  <c:v>Jun 2028</c:v>
                </c:pt>
                <c:pt idx="21">
                  <c:v>Jul 2028</c:v>
                </c:pt>
                <c:pt idx="22">
                  <c:v>Aug 2028</c:v>
                </c:pt>
                <c:pt idx="23">
                  <c:v>Sep 2028</c:v>
                </c:pt>
              </c:strCache>
            </c:strRef>
          </c:cat>
          <c:val>
            <c:numRef>
              <c:f>Forecast!$W$6:$W$29</c:f>
              <c:numCache>
                <c:formatCode>\£#,##0.00</c:formatCode>
                <c:ptCount val="24"/>
                <c:pt idx="0">
                  <c:v>2.52</c:v>
                </c:pt>
                <c:pt idx="1">
                  <c:v>18.659025</c:v>
                </c:pt>
                <c:pt idx="2">
                  <c:v>59.1215625</c:v>
                </c:pt>
                <c:pt idx="3">
                  <c:v>38.201625</c:v>
                </c:pt>
                <c:pt idx="4">
                  <c:v>51.8450625</c:v>
                </c:pt>
                <c:pt idx="5">
                  <c:v>75.796875</c:v>
                </c:pt>
                <c:pt idx="6">
                  <c:v>90.95625</c:v>
                </c:pt>
                <c:pt idx="7">
                  <c:v>106.115625</c:v>
                </c:pt>
                <c:pt idx="8">
                  <c:v>121.275</c:v>
                </c:pt>
                <c:pt idx="9">
                  <c:v>136.434375</c:v>
                </c:pt>
                <c:pt idx="10">
                  <c:v>151.59375</c:v>
                </c:pt>
                <c:pt idx="11">
                  <c:v>166.753125</c:v>
                </c:pt>
                <c:pt idx="12">
                  <c:v>181.9125</c:v>
                </c:pt>
                <c:pt idx="13">
                  <c:v>216.7790625</c:v>
                </c:pt>
                <c:pt idx="14">
                  <c:v>275.900625</c:v>
                </c:pt>
                <c:pt idx="15">
                  <c:v>204.6515625</c:v>
                </c:pt>
                <c:pt idx="16">
                  <c:v>218.295</c:v>
                </c:pt>
                <c:pt idx="17">
                  <c:v>257.709375</c:v>
                </c:pt>
                <c:pt idx="18">
                  <c:v>272.86875</c:v>
                </c:pt>
                <c:pt idx="19">
                  <c:v>288.028125</c:v>
                </c:pt>
                <c:pt idx="20">
                  <c:v>303.1875</c:v>
                </c:pt>
                <c:pt idx="21">
                  <c:v>318.346875</c:v>
                </c:pt>
                <c:pt idx="22">
                  <c:v>333.50625</c:v>
                </c:pt>
                <c:pt idx="23">
                  <c:v>348.665625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670841"/>
        <c:axId val="29323034"/>
      </c:lineChart>
      <c:catAx>
        <c:axId val="316708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23034"/>
        <c:crosses val="autoZero"/>
        <c:auto val="1"/>
        <c:lblAlgn val="ctr"/>
        <c:lblOffset val="100"/>
        <c:noMultiLvlLbl val="0"/>
      </c:catAx>
      <c:valAx>
        <c:axId val="29323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 per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708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67320</xdr:rowOff>
    </xdr:from>
    <xdr:to>
      <xdr:col>6</xdr:col>
      <xdr:colOff>714960</xdr:colOff>
      <xdr:row>24</xdr:row>
      <xdr:rowOff>89640</xdr:rowOff>
    </xdr:to>
    <xdr:graphicFrame>
      <xdr:nvGraphicFramePr>
        <xdr:cNvPr id="0" name="Chart 1"/>
        <xdr:cNvGraphicFramePr/>
      </xdr:nvGraphicFramePr>
      <xdr:xfrm>
        <a:off x="0" y="1905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2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f aca="false">Forecast!G11</f>
        <v>0.210375</v>
      </c>
      <c r="C5" s="5" t="n">
        <f aca="false">Forecast!G17</f>
        <v>0.462825</v>
      </c>
      <c r="D5" s="5" t="n">
        <f aca="false">Forecast!G29</f>
        <v>0.967725</v>
      </c>
      <c r="E5" s="5" t="n">
        <f aca="false">Forecast!G31</f>
        <v>2.8281114</v>
      </c>
      <c r="F5" s="5" t="n">
        <f aca="false">Forecast!G32</f>
        <v>8.93673</v>
      </c>
      <c r="G5" s="5" t="n">
        <f aca="false">Forecast!H33</f>
        <v>-540.2351586</v>
      </c>
      <c r="H5" s="6" t="n">
        <f aca="false">Forecast!G29/$B$9</f>
        <v>9.67725E-005</v>
      </c>
    </row>
    <row r="6" customFormat="false" ht="15" hidden="false" customHeight="false" outlineLevel="0" collapsed="false">
      <c r="A6" s="4" t="s">
        <v>11</v>
      </c>
      <c r="B6" s="5" t="n">
        <f aca="false">Forecast!O11</f>
        <v>4.85625</v>
      </c>
      <c r="C6" s="5" t="n">
        <f aca="false">Forecast!O17</f>
        <v>10.68375</v>
      </c>
      <c r="D6" s="5" t="n">
        <f aca="false">Forecast!O29</f>
        <v>22.33875</v>
      </c>
      <c r="E6" s="5" t="n">
        <f aca="false">Forecast!O31</f>
        <v>65.28963</v>
      </c>
      <c r="F6" s="5" t="n">
        <f aca="false">Forecast!O32</f>
        <v>206.2935</v>
      </c>
      <c r="G6" s="5" t="n">
        <f aca="false">Forecast!P33</f>
        <v>-280.41687</v>
      </c>
      <c r="H6" s="6" t="n">
        <f aca="false">Forecast!O29/$B$9</f>
        <v>0.002233875</v>
      </c>
    </row>
    <row r="7" customFormat="false" ht="15" hidden="false" customHeight="false" outlineLevel="0" collapsed="false">
      <c r="A7" s="4" t="s">
        <v>12</v>
      </c>
      <c r="B7" s="5" t="n">
        <f aca="false">Forecast!W11</f>
        <v>75.796875</v>
      </c>
      <c r="C7" s="5" t="n">
        <f aca="false">Forecast!W17</f>
        <v>166.753125</v>
      </c>
      <c r="D7" s="5" t="n">
        <f aca="false">Forecast!W29</f>
        <v>348.665625</v>
      </c>
      <c r="E7" s="5" t="n">
        <f aca="false">Forecast!W31</f>
        <v>1019.272275</v>
      </c>
      <c r="F7" s="5" t="n">
        <f aca="false">Forecast!W32</f>
        <v>3219.85125</v>
      </c>
      <c r="G7" s="5" t="n">
        <f aca="false">Forecast!X33</f>
        <v>3687.123525</v>
      </c>
      <c r="H7" s="6" t="n">
        <f aca="false">Forecast!W29/$B$9</f>
        <v>0.0348665625</v>
      </c>
    </row>
    <row r="9" customFormat="false" ht="15" hidden="false" customHeight="false" outlineLevel="0" collapsed="false">
      <c r="A9" s="4" t="s">
        <v>13</v>
      </c>
      <c r="B9" s="7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8" t="s">
        <v>16</v>
      </c>
      <c r="B4" s="8" t="s">
        <v>10</v>
      </c>
      <c r="C4" s="8" t="s">
        <v>11</v>
      </c>
      <c r="D4" s="8" t="s">
        <v>12</v>
      </c>
      <c r="E4" s="8" t="s">
        <v>17</v>
      </c>
    </row>
    <row r="5" customFormat="false" ht="15" hidden="false" customHeight="false" outlineLevel="0" collapsed="false">
      <c r="A5" s="4" t="s">
        <v>18</v>
      </c>
      <c r="B5" s="9" t="n">
        <v>0.4</v>
      </c>
      <c r="C5" s="9" t="n">
        <v>1</v>
      </c>
      <c r="D5" s="9" t="n">
        <v>2.5</v>
      </c>
      <c r="E5" s="10" t="s">
        <v>19</v>
      </c>
    </row>
    <row r="6" customFormat="false" ht="15" hidden="false" customHeight="false" outlineLevel="0" collapsed="false">
      <c r="A6" s="4" t="s">
        <v>20</v>
      </c>
      <c r="B6" s="11" t="n">
        <v>0.003</v>
      </c>
      <c r="C6" s="11" t="n">
        <v>0.006</v>
      </c>
      <c r="D6" s="11" t="n">
        <v>0.01</v>
      </c>
      <c r="E6" s="10" t="s">
        <v>21</v>
      </c>
    </row>
    <row r="7" customFormat="false" ht="15" hidden="false" customHeight="false" outlineLevel="0" collapsed="false">
      <c r="A7" s="4" t="s">
        <v>22</v>
      </c>
      <c r="B7" s="11" t="n">
        <v>0.15</v>
      </c>
      <c r="C7" s="11" t="n">
        <v>0.25</v>
      </c>
      <c r="D7" s="11" t="n">
        <v>0.35</v>
      </c>
      <c r="E7" s="10" t="s">
        <v>23</v>
      </c>
    </row>
    <row r="8" customFormat="false" ht="15" hidden="false" customHeight="false" outlineLevel="0" collapsed="false">
      <c r="A8" s="4" t="s">
        <v>24</v>
      </c>
      <c r="B8" s="11" t="n">
        <v>0.03</v>
      </c>
      <c r="C8" s="11" t="n">
        <v>0.05</v>
      </c>
      <c r="D8" s="11" t="n">
        <v>0.08</v>
      </c>
      <c r="E8" s="10" t="s">
        <v>23</v>
      </c>
    </row>
    <row r="9" customFormat="false" ht="15" hidden="false" customHeight="false" outlineLevel="0" collapsed="false">
      <c r="A9" s="4" t="s">
        <v>25</v>
      </c>
      <c r="B9" s="9" t="n">
        <v>25</v>
      </c>
      <c r="C9" s="9" t="n">
        <v>35</v>
      </c>
      <c r="D9" s="9" t="n">
        <v>45</v>
      </c>
      <c r="E9" s="10" t="s">
        <v>23</v>
      </c>
    </row>
    <row r="10" customFormat="false" ht="15" hidden="false" customHeight="false" outlineLevel="0" collapsed="false">
      <c r="A10" s="4" t="s">
        <v>26</v>
      </c>
      <c r="B10" s="11" t="n">
        <v>0.025</v>
      </c>
      <c r="C10" s="11" t="n">
        <v>0.03</v>
      </c>
      <c r="D10" s="11" t="n">
        <v>0.04</v>
      </c>
      <c r="E10" s="10" t="s">
        <v>27</v>
      </c>
    </row>
    <row r="11" customFormat="false" ht="15" hidden="false" customHeight="false" outlineLevel="0" collapsed="false">
      <c r="A11" s="4" t="s">
        <v>28</v>
      </c>
      <c r="B11" s="11" t="n">
        <v>0.014</v>
      </c>
      <c r="C11" s="11" t="n">
        <v>0.02</v>
      </c>
      <c r="D11" s="11" t="n">
        <v>0.03</v>
      </c>
      <c r="E11" s="10" t="s">
        <v>29</v>
      </c>
    </row>
    <row r="12" customFormat="false" ht="15" hidden="false" customHeight="false" outlineLevel="0" collapsed="false">
      <c r="A12" s="4" t="s">
        <v>30</v>
      </c>
      <c r="B12" s="9" t="n">
        <v>80</v>
      </c>
      <c r="C12" s="9" t="n">
        <v>110</v>
      </c>
      <c r="D12" s="9" t="n">
        <v>150</v>
      </c>
      <c r="E12" s="10" t="s">
        <v>31</v>
      </c>
    </row>
    <row r="13" customFormat="false" ht="15" hidden="false" customHeight="false" outlineLevel="0" collapsed="false">
      <c r="A13" s="4" t="s">
        <v>32</v>
      </c>
      <c r="B13" s="11" t="n">
        <v>0.025</v>
      </c>
      <c r="C13" s="11" t="n">
        <v>0.035</v>
      </c>
      <c r="D13" s="11" t="n">
        <v>0.045</v>
      </c>
      <c r="E13" s="10" t="s">
        <v>33</v>
      </c>
    </row>
    <row r="14" customFormat="false" ht="15" hidden="false" customHeight="false" outlineLevel="0" collapsed="false">
      <c r="A14" s="4" t="s">
        <v>34</v>
      </c>
      <c r="B14" s="9" t="n">
        <v>23</v>
      </c>
      <c r="C14" s="9" t="n">
        <v>23</v>
      </c>
      <c r="D14" s="9" t="n">
        <v>23</v>
      </c>
      <c r="E14" s="10" t="s">
        <v>35</v>
      </c>
    </row>
    <row r="16" customFormat="false" ht="15" hidden="false" customHeight="false" outlineLevel="0" collapsed="false">
      <c r="A16" s="4" t="s">
        <v>36</v>
      </c>
      <c r="C16" s="9" t="n">
        <v>10000</v>
      </c>
      <c r="E16" s="10" t="s">
        <v>37</v>
      </c>
    </row>
    <row r="18" customFormat="false" ht="15" hidden="false" customHeight="false" outlineLevel="0" collapsed="false">
      <c r="A18" s="8" t="s">
        <v>38</v>
      </c>
      <c r="B18" s="8" t="s">
        <v>39</v>
      </c>
      <c r="C18" s="8" t="s">
        <v>40</v>
      </c>
      <c r="D18" s="8" t="s">
        <v>41</v>
      </c>
      <c r="E18" s="8" t="s">
        <v>42</v>
      </c>
    </row>
    <row r="19" customFormat="false" ht="15" hidden="false" customHeight="false" outlineLevel="0" collapsed="false">
      <c r="A19" s="4" t="s">
        <v>43</v>
      </c>
      <c r="B19" s="9" t="n">
        <v>2000</v>
      </c>
      <c r="C19" s="12" t="n">
        <v>0</v>
      </c>
      <c r="D19" s="13" t="n">
        <v>1</v>
      </c>
      <c r="E19" s="14" t="s">
        <v>44</v>
      </c>
    </row>
    <row r="20" customFormat="false" ht="15" hidden="false" customHeight="false" outlineLevel="0" collapsed="false">
      <c r="A20" s="4" t="s">
        <v>45</v>
      </c>
      <c r="B20" s="9" t="n">
        <v>12000</v>
      </c>
      <c r="C20" s="12" t="n">
        <v>0.3</v>
      </c>
      <c r="D20" s="13" t="n">
        <v>1.1</v>
      </c>
    </row>
    <row r="21" customFormat="false" ht="15" hidden="false" customHeight="false" outlineLevel="0" collapsed="false">
      <c r="A21" s="4" t="s">
        <v>46</v>
      </c>
      <c r="B21" s="9" t="n">
        <v>30000</v>
      </c>
      <c r="C21" s="12" t="n">
        <v>0.5</v>
      </c>
      <c r="D21" s="13" t="n">
        <v>1.3</v>
      </c>
      <c r="E21" s="14" t="s">
        <v>47</v>
      </c>
    </row>
    <row r="22" customFormat="false" ht="15" hidden="false" customHeight="false" outlineLevel="0" collapsed="false">
      <c r="A22" s="4" t="s">
        <v>48</v>
      </c>
      <c r="B22" s="9" t="n">
        <v>28000</v>
      </c>
      <c r="C22" s="12" t="n">
        <v>0.5</v>
      </c>
      <c r="D22" s="13" t="n">
        <v>0.9</v>
      </c>
    </row>
    <row r="23" customFormat="false" ht="15" hidden="false" customHeight="false" outlineLevel="0" collapsed="false">
      <c r="A23" s="4" t="s">
        <v>49</v>
      </c>
      <c r="B23" s="9" t="n">
        <v>38000</v>
      </c>
      <c r="C23" s="12" t="n">
        <v>0.5</v>
      </c>
      <c r="D23" s="13" t="n">
        <v>0.9</v>
      </c>
    </row>
    <row r="24" customFormat="false" ht="15" hidden="false" customHeight="false" outlineLevel="0" collapsed="false">
      <c r="A24" s="4" t="s">
        <v>50</v>
      </c>
      <c r="B24" s="9" t="n">
        <v>50000</v>
      </c>
      <c r="C24" s="12" t="n">
        <v>0.5</v>
      </c>
      <c r="D24" s="13" t="n">
        <v>1</v>
      </c>
    </row>
    <row r="25" customFormat="false" ht="15" hidden="false" customHeight="false" outlineLevel="0" collapsed="false">
      <c r="A25" s="4" t="s">
        <v>51</v>
      </c>
      <c r="B25" s="15" t="n">
        <f aca="false">B24+$C$16</f>
        <v>60000</v>
      </c>
      <c r="C25" s="12" t="n">
        <v>0.5</v>
      </c>
      <c r="D25" s="13" t="n">
        <v>1</v>
      </c>
    </row>
    <row r="26" customFormat="false" ht="15" hidden="false" customHeight="false" outlineLevel="0" collapsed="false">
      <c r="A26" s="4" t="s">
        <v>52</v>
      </c>
      <c r="B26" s="15" t="n">
        <f aca="false">B25+$C$16</f>
        <v>70000</v>
      </c>
      <c r="C26" s="12" t="n">
        <v>0.5</v>
      </c>
      <c r="D26" s="13" t="n">
        <v>1</v>
      </c>
    </row>
    <row r="27" customFormat="false" ht="15" hidden="false" customHeight="false" outlineLevel="0" collapsed="false">
      <c r="A27" s="4" t="s">
        <v>53</v>
      </c>
      <c r="B27" s="15" t="n">
        <f aca="false">B26+$C$16</f>
        <v>80000</v>
      </c>
      <c r="C27" s="12" t="n">
        <v>0.5</v>
      </c>
      <c r="D27" s="13" t="n">
        <v>1</v>
      </c>
    </row>
    <row r="28" customFormat="false" ht="15" hidden="false" customHeight="false" outlineLevel="0" collapsed="false">
      <c r="A28" s="4" t="s">
        <v>54</v>
      </c>
      <c r="B28" s="15" t="n">
        <f aca="false">B27+$C$16</f>
        <v>90000</v>
      </c>
      <c r="C28" s="12" t="n">
        <v>0.5</v>
      </c>
      <c r="D28" s="13" t="n">
        <v>1</v>
      </c>
    </row>
    <row r="29" customFormat="false" ht="15" hidden="false" customHeight="false" outlineLevel="0" collapsed="false">
      <c r="A29" s="4" t="s">
        <v>55</v>
      </c>
      <c r="B29" s="15" t="n">
        <f aca="false">B28+$C$16</f>
        <v>100000</v>
      </c>
      <c r="C29" s="12" t="n">
        <v>0.5</v>
      </c>
      <c r="D29" s="13" t="n">
        <v>1</v>
      </c>
    </row>
    <row r="30" customFormat="false" ht="15" hidden="false" customHeight="false" outlineLevel="0" collapsed="false">
      <c r="A30" s="4" t="s">
        <v>56</v>
      </c>
      <c r="B30" s="15" t="n">
        <f aca="false">B29+$C$16</f>
        <v>110000</v>
      </c>
      <c r="C30" s="12" t="n">
        <v>0.5</v>
      </c>
      <c r="D30" s="13" t="n">
        <v>1</v>
      </c>
    </row>
    <row r="31" customFormat="false" ht="15" hidden="false" customHeight="false" outlineLevel="0" collapsed="false">
      <c r="A31" s="4" t="s">
        <v>57</v>
      </c>
      <c r="B31" s="15" t="n">
        <f aca="false">B30+$C$16</f>
        <v>120000</v>
      </c>
      <c r="C31" s="12" t="n">
        <v>0.5</v>
      </c>
      <c r="D31" s="13" t="n">
        <v>1</v>
      </c>
      <c r="E31" s="14" t="s">
        <v>47</v>
      </c>
    </row>
    <row r="32" customFormat="false" ht="15" hidden="false" customHeight="false" outlineLevel="0" collapsed="false">
      <c r="A32" s="4" t="s">
        <v>58</v>
      </c>
      <c r="B32" s="15" t="n">
        <f aca="false">B31+$C$16</f>
        <v>130000</v>
      </c>
      <c r="C32" s="12" t="n">
        <v>0.5</v>
      </c>
      <c r="D32" s="13" t="n">
        <v>1.1</v>
      </c>
    </row>
    <row r="33" customFormat="false" ht="15" hidden="false" customHeight="false" outlineLevel="0" collapsed="false">
      <c r="A33" s="4" t="s">
        <v>59</v>
      </c>
      <c r="B33" s="15" t="n">
        <f aca="false">B32+$C$16</f>
        <v>140000</v>
      </c>
      <c r="C33" s="12" t="n">
        <v>0.5</v>
      </c>
      <c r="D33" s="13" t="n">
        <v>1.3</v>
      </c>
    </row>
    <row r="34" customFormat="false" ht="15" hidden="false" customHeight="false" outlineLevel="0" collapsed="false">
      <c r="A34" s="4" t="s">
        <v>60</v>
      </c>
      <c r="B34" s="15" t="n">
        <f aca="false">B33+$C$16</f>
        <v>150000</v>
      </c>
      <c r="C34" s="12" t="n">
        <v>0.5</v>
      </c>
      <c r="D34" s="13" t="n">
        <v>0.9</v>
      </c>
    </row>
    <row r="35" customFormat="false" ht="15" hidden="false" customHeight="false" outlineLevel="0" collapsed="false">
      <c r="A35" s="4" t="s">
        <v>61</v>
      </c>
      <c r="B35" s="15" t="n">
        <f aca="false">B34+$C$16</f>
        <v>160000</v>
      </c>
      <c r="C35" s="12" t="n">
        <v>0.5</v>
      </c>
      <c r="D35" s="13" t="n">
        <v>0.9</v>
      </c>
    </row>
    <row r="36" customFormat="false" ht="15" hidden="false" customHeight="false" outlineLevel="0" collapsed="false">
      <c r="A36" s="4" t="s">
        <v>62</v>
      </c>
      <c r="B36" s="15" t="n">
        <f aca="false">B35+$C$16</f>
        <v>170000</v>
      </c>
      <c r="C36" s="12" t="n">
        <v>0.5</v>
      </c>
      <c r="D36" s="13" t="n">
        <v>1</v>
      </c>
    </row>
    <row r="37" customFormat="false" ht="15" hidden="false" customHeight="false" outlineLevel="0" collapsed="false">
      <c r="A37" s="4" t="s">
        <v>63</v>
      </c>
      <c r="B37" s="15" t="n">
        <f aca="false">B36+$C$16</f>
        <v>180000</v>
      </c>
      <c r="C37" s="12" t="n">
        <v>0.5</v>
      </c>
      <c r="D37" s="13" t="n">
        <v>1</v>
      </c>
    </row>
    <row r="38" customFormat="false" ht="15" hidden="false" customHeight="false" outlineLevel="0" collapsed="false">
      <c r="A38" s="4" t="s">
        <v>64</v>
      </c>
      <c r="B38" s="15" t="n">
        <f aca="false">B37+$C$16</f>
        <v>190000</v>
      </c>
      <c r="C38" s="12" t="n">
        <v>0.5</v>
      </c>
      <c r="D38" s="13" t="n">
        <v>1</v>
      </c>
    </row>
    <row r="39" customFormat="false" ht="15" hidden="false" customHeight="false" outlineLevel="0" collapsed="false">
      <c r="A39" s="4" t="s">
        <v>65</v>
      </c>
      <c r="B39" s="15" t="n">
        <f aca="false">B38+$C$16</f>
        <v>200000</v>
      </c>
      <c r="C39" s="12" t="n">
        <v>0.5</v>
      </c>
      <c r="D39" s="13" t="n">
        <v>1</v>
      </c>
    </row>
    <row r="40" customFormat="false" ht="15" hidden="false" customHeight="false" outlineLevel="0" collapsed="false">
      <c r="A40" s="4" t="s">
        <v>66</v>
      </c>
      <c r="B40" s="15" t="n">
        <f aca="false">B39+$C$16</f>
        <v>210000</v>
      </c>
      <c r="C40" s="12" t="n">
        <v>0.5</v>
      </c>
      <c r="D40" s="13" t="n">
        <v>1</v>
      </c>
    </row>
    <row r="41" customFormat="false" ht="15" hidden="false" customHeight="false" outlineLevel="0" collapsed="false">
      <c r="A41" s="4" t="s">
        <v>67</v>
      </c>
      <c r="B41" s="15" t="n">
        <f aca="false">B40+$C$16</f>
        <v>220000</v>
      </c>
      <c r="C41" s="12" t="n">
        <v>0.5</v>
      </c>
      <c r="D41" s="13" t="n">
        <v>1</v>
      </c>
    </row>
    <row r="42" customFormat="false" ht="15" hidden="false" customHeight="false" outlineLevel="0" collapsed="false">
      <c r="A42" s="4" t="s">
        <v>68</v>
      </c>
      <c r="B42" s="15" t="n">
        <f aca="false">B41+$C$16</f>
        <v>230000</v>
      </c>
      <c r="C42" s="12" t="n">
        <v>0.5</v>
      </c>
      <c r="D42" s="1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5" min="2" style="0" width="11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B4" s="16" t="s">
        <v>71</v>
      </c>
      <c r="J4" s="16" t="s">
        <v>72</v>
      </c>
      <c r="R4" s="16" t="s">
        <v>73</v>
      </c>
    </row>
    <row r="5" customFormat="false" ht="32.8" hidden="false" customHeight="false" outlineLevel="0" collapsed="false">
      <c r="A5" s="8" t="s">
        <v>38</v>
      </c>
      <c r="B5" s="3" t="s">
        <v>74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79</v>
      </c>
      <c r="H5" s="3" t="s">
        <v>80</v>
      </c>
      <c r="I5" s="3" t="s">
        <v>81</v>
      </c>
      <c r="J5" s="3" t="s">
        <v>74</v>
      </c>
      <c r="K5" s="3" t="s">
        <v>75</v>
      </c>
      <c r="L5" s="3" t="s">
        <v>76</v>
      </c>
      <c r="M5" s="3" t="s">
        <v>77</v>
      </c>
      <c r="N5" s="3" t="s">
        <v>78</v>
      </c>
      <c r="O5" s="3" t="s">
        <v>79</v>
      </c>
      <c r="P5" s="3" t="s">
        <v>80</v>
      </c>
      <c r="Q5" s="3" t="s">
        <v>81</v>
      </c>
      <c r="R5" s="3" t="s">
        <v>74</v>
      </c>
      <c r="S5" s="3" t="s">
        <v>75</v>
      </c>
      <c r="T5" s="3" t="s">
        <v>76</v>
      </c>
      <c r="U5" s="3" t="s">
        <v>77</v>
      </c>
      <c r="V5" s="3" t="s">
        <v>78</v>
      </c>
      <c r="W5" s="3" t="s">
        <v>79</v>
      </c>
      <c r="X5" s="3" t="s">
        <v>80</v>
      </c>
      <c r="Y5" s="3" t="s">
        <v>81</v>
      </c>
    </row>
    <row r="6" customFormat="false" ht="15" hidden="false" customHeight="false" outlineLevel="0" collapsed="false">
      <c r="A6" s="4" t="str">
        <f aca="false">Assumptions!A19</f>
        <v>Oct 2026</v>
      </c>
      <c r="B6" s="15" t="n">
        <f aca="false">Assumptions!B19*Assumptions!$B$5</f>
        <v>800</v>
      </c>
      <c r="C6" s="15" t="n">
        <f aca="false">B6*Assumptions!$B$6</f>
        <v>2.4</v>
      </c>
      <c r="D6" s="15" t="n">
        <f aca="false">C6*Assumptions!$B$7</f>
        <v>0.36</v>
      </c>
      <c r="E6" s="17" t="n">
        <f aca="false">D6*(1-Assumptions!C19)*Assumptions!$B$8*Assumptions!D19</f>
        <v>0.0108</v>
      </c>
      <c r="F6" s="17" t="n">
        <f aca="false">D6*Assumptions!C19*Assumptions!$B$11*Assumptions!D19</f>
        <v>0</v>
      </c>
      <c r="G6" s="18" t="n">
        <f aca="false">E6*Assumptions!$B$9*Assumptions!$B$10+F6*Assumptions!$B$12*Assumptions!$B$13</f>
        <v>0.00675</v>
      </c>
      <c r="H6" s="19" t="n">
        <f aca="false">G6-Assumptions!$B$14</f>
        <v>-22.99325</v>
      </c>
      <c r="I6" s="17" t="n">
        <f aca="false">SUM(E$6:E6)</f>
        <v>0.0108</v>
      </c>
      <c r="J6" s="15" t="n">
        <f aca="false">Assumptions!B19*Assumptions!$C$5</f>
        <v>2000</v>
      </c>
      <c r="K6" s="15" t="n">
        <f aca="false">J6*Assumptions!$C$6</f>
        <v>12</v>
      </c>
      <c r="L6" s="15" t="n">
        <f aca="false">K6*Assumptions!$C$7</f>
        <v>3</v>
      </c>
      <c r="M6" s="17" t="n">
        <f aca="false">L6*(1-Assumptions!C19)*Assumptions!$C$8*Assumptions!D19</f>
        <v>0.15</v>
      </c>
      <c r="N6" s="17" t="n">
        <f aca="false">L6*Assumptions!C19*Assumptions!$C$11*Assumptions!D19</f>
        <v>0</v>
      </c>
      <c r="O6" s="18" t="n">
        <f aca="false">M6*Assumptions!$C$9*Assumptions!$C$10+N6*Assumptions!$C$12*Assumptions!$C$13</f>
        <v>0.1575</v>
      </c>
      <c r="P6" s="19" t="n">
        <f aca="false">O6-Assumptions!$C$14</f>
        <v>-22.8425</v>
      </c>
      <c r="Q6" s="17" t="n">
        <f aca="false">SUM(M$6:M6)</f>
        <v>0.15</v>
      </c>
      <c r="R6" s="15" t="n">
        <f aca="false">Assumptions!B19*Assumptions!$D$5</f>
        <v>5000</v>
      </c>
      <c r="S6" s="15" t="n">
        <f aca="false">R6*Assumptions!$D$6</f>
        <v>50</v>
      </c>
      <c r="T6" s="15" t="n">
        <f aca="false">S6*Assumptions!$D$7</f>
        <v>17.5</v>
      </c>
      <c r="U6" s="17" t="n">
        <f aca="false">T6*(1-Assumptions!C19)*Assumptions!$D$8*Assumptions!D19</f>
        <v>1.4</v>
      </c>
      <c r="V6" s="17" t="n">
        <f aca="false">T6*Assumptions!C19*Assumptions!$D$11*Assumptions!D19</f>
        <v>0</v>
      </c>
      <c r="W6" s="18" t="n">
        <f aca="false">U6*Assumptions!$D$9*Assumptions!$D$10+V6*Assumptions!$D$12*Assumptions!$D$13</f>
        <v>2.52</v>
      </c>
      <c r="X6" s="19" t="n">
        <f aca="false">W6-Assumptions!$D$14</f>
        <v>-20.48</v>
      </c>
      <c r="Y6" s="17" t="n">
        <f aca="false">SUM(U$6:U6)</f>
        <v>1.4</v>
      </c>
    </row>
    <row r="7" customFormat="false" ht="15" hidden="false" customHeight="false" outlineLevel="0" collapsed="false">
      <c r="A7" s="4" t="str">
        <f aca="false">Assumptions!A20</f>
        <v>Nov 2026</v>
      </c>
      <c r="B7" s="15" t="n">
        <f aca="false">Assumptions!B20*Assumptions!$B$5</f>
        <v>4800</v>
      </c>
      <c r="C7" s="15" t="n">
        <f aca="false">B7*Assumptions!$B$6</f>
        <v>14.4</v>
      </c>
      <c r="D7" s="15" t="n">
        <f aca="false">C7*Assumptions!$B$7</f>
        <v>2.16</v>
      </c>
      <c r="E7" s="17" t="n">
        <f aca="false">D7*(1-Assumptions!C20)*Assumptions!$B$8*Assumptions!D20</f>
        <v>0.049896</v>
      </c>
      <c r="F7" s="17" t="n">
        <f aca="false">D7*Assumptions!C20*Assumptions!$B$11*Assumptions!D20</f>
        <v>0.0099792</v>
      </c>
      <c r="G7" s="18" t="n">
        <f aca="false">E7*Assumptions!$B$9*Assumptions!$B$10+F7*Assumptions!$B$12*Assumptions!$B$13</f>
        <v>0.0511434</v>
      </c>
      <c r="H7" s="19" t="n">
        <f aca="false">G7-Assumptions!$B$14</f>
        <v>-22.9488566</v>
      </c>
      <c r="I7" s="17" t="n">
        <f aca="false">SUM(E$6:E7)</f>
        <v>0.060696</v>
      </c>
      <c r="J7" s="15" t="n">
        <f aca="false">Assumptions!B20*Assumptions!$C$5</f>
        <v>12000</v>
      </c>
      <c r="K7" s="15" t="n">
        <f aca="false">J7*Assumptions!$C$6</f>
        <v>72</v>
      </c>
      <c r="L7" s="15" t="n">
        <f aca="false">K7*Assumptions!$C$7</f>
        <v>18</v>
      </c>
      <c r="M7" s="17" t="n">
        <f aca="false">L7*(1-Assumptions!C20)*Assumptions!$C$8*Assumptions!D20</f>
        <v>0.693</v>
      </c>
      <c r="N7" s="17" t="n">
        <f aca="false">L7*Assumptions!C20*Assumptions!$C$11*Assumptions!D20</f>
        <v>0.1188</v>
      </c>
      <c r="O7" s="18" t="n">
        <f aca="false">M7*Assumptions!$C$9*Assumptions!$C$10+N7*Assumptions!$C$12*Assumptions!$C$13</f>
        <v>1.18503</v>
      </c>
      <c r="P7" s="19" t="n">
        <f aca="false">O7-Assumptions!$C$14</f>
        <v>-21.81497</v>
      </c>
      <c r="Q7" s="17" t="n">
        <f aca="false">SUM(M$6:M7)</f>
        <v>0.843</v>
      </c>
      <c r="R7" s="15" t="n">
        <f aca="false">Assumptions!B20*Assumptions!$D$5</f>
        <v>30000</v>
      </c>
      <c r="S7" s="15" t="n">
        <f aca="false">R7*Assumptions!$D$6</f>
        <v>300</v>
      </c>
      <c r="T7" s="15" t="n">
        <f aca="false">S7*Assumptions!$D$7</f>
        <v>105</v>
      </c>
      <c r="U7" s="17" t="n">
        <f aca="false">T7*(1-Assumptions!C20)*Assumptions!$D$8*Assumptions!D20</f>
        <v>6.468</v>
      </c>
      <c r="V7" s="17" t="n">
        <f aca="false">T7*Assumptions!C20*Assumptions!$D$11*Assumptions!D20</f>
        <v>1.0395</v>
      </c>
      <c r="W7" s="18" t="n">
        <f aca="false">U7*Assumptions!$D$9*Assumptions!$D$10+V7*Assumptions!$D$12*Assumptions!$D$13</f>
        <v>18.659025</v>
      </c>
      <c r="X7" s="19" t="n">
        <f aca="false">W7-Assumptions!$D$14</f>
        <v>-4.340975</v>
      </c>
      <c r="Y7" s="17" t="n">
        <f aca="false">SUM(U$6:U7)</f>
        <v>7.868</v>
      </c>
    </row>
    <row r="8" customFormat="false" ht="15" hidden="false" customHeight="false" outlineLevel="0" collapsed="false">
      <c r="A8" s="4" t="str">
        <f aca="false">Assumptions!A21</f>
        <v>Dec 2026</v>
      </c>
      <c r="B8" s="15" t="n">
        <f aca="false">Assumptions!B21*Assumptions!$B$5</f>
        <v>12000</v>
      </c>
      <c r="C8" s="15" t="n">
        <f aca="false">B8*Assumptions!$B$6</f>
        <v>36</v>
      </c>
      <c r="D8" s="15" t="n">
        <f aca="false">C8*Assumptions!$B$7</f>
        <v>5.4</v>
      </c>
      <c r="E8" s="17" t="n">
        <f aca="false">D8*(1-Assumptions!C21)*Assumptions!$B$8*Assumptions!D21</f>
        <v>0.1053</v>
      </c>
      <c r="F8" s="17" t="n">
        <f aca="false">D8*Assumptions!C21*Assumptions!$B$11*Assumptions!D21</f>
        <v>0.04914</v>
      </c>
      <c r="G8" s="18" t="n">
        <f aca="false">E8*Assumptions!$B$9*Assumptions!$B$10+F8*Assumptions!$B$12*Assumptions!$B$13</f>
        <v>0.1640925</v>
      </c>
      <c r="H8" s="19" t="n">
        <f aca="false">G8-Assumptions!$B$14</f>
        <v>-22.8359075</v>
      </c>
      <c r="I8" s="17" t="n">
        <f aca="false">SUM(E$6:E8)</f>
        <v>0.165996</v>
      </c>
      <c r="J8" s="15" t="n">
        <f aca="false">Assumptions!B21*Assumptions!$C$5</f>
        <v>30000</v>
      </c>
      <c r="K8" s="15" t="n">
        <f aca="false">J8*Assumptions!$C$6</f>
        <v>180</v>
      </c>
      <c r="L8" s="15" t="n">
        <f aca="false">K8*Assumptions!$C$7</f>
        <v>45</v>
      </c>
      <c r="M8" s="17" t="n">
        <f aca="false">L8*(1-Assumptions!C21)*Assumptions!$C$8*Assumptions!D21</f>
        <v>1.4625</v>
      </c>
      <c r="N8" s="17" t="n">
        <f aca="false">L8*Assumptions!C21*Assumptions!$C$11*Assumptions!D21</f>
        <v>0.585</v>
      </c>
      <c r="O8" s="18" t="n">
        <f aca="false">M8*Assumptions!$C$9*Assumptions!$C$10+N8*Assumptions!$C$12*Assumptions!$C$13</f>
        <v>3.787875</v>
      </c>
      <c r="P8" s="19" t="n">
        <f aca="false">O8-Assumptions!$C$14</f>
        <v>-19.212125</v>
      </c>
      <c r="Q8" s="17" t="n">
        <f aca="false">SUM(M$6:M8)</f>
        <v>2.3055</v>
      </c>
      <c r="R8" s="15" t="n">
        <f aca="false">Assumptions!B21*Assumptions!$D$5</f>
        <v>75000</v>
      </c>
      <c r="S8" s="15" t="n">
        <f aca="false">R8*Assumptions!$D$6</f>
        <v>750</v>
      </c>
      <c r="T8" s="15" t="n">
        <f aca="false">S8*Assumptions!$D$7</f>
        <v>262.5</v>
      </c>
      <c r="U8" s="17" t="n">
        <f aca="false">T8*(1-Assumptions!C21)*Assumptions!$D$8*Assumptions!D21</f>
        <v>13.65</v>
      </c>
      <c r="V8" s="17" t="n">
        <f aca="false">T8*Assumptions!C21*Assumptions!$D$11*Assumptions!D21</f>
        <v>5.11875</v>
      </c>
      <c r="W8" s="18" t="n">
        <f aca="false">U8*Assumptions!$D$9*Assumptions!$D$10+V8*Assumptions!$D$12*Assumptions!$D$13</f>
        <v>59.1215625</v>
      </c>
      <c r="X8" s="19" t="n">
        <f aca="false">W8-Assumptions!$D$14</f>
        <v>36.1215625</v>
      </c>
      <c r="Y8" s="17" t="n">
        <f aca="false">SUM(U$6:U8)</f>
        <v>21.518</v>
      </c>
    </row>
    <row r="9" customFormat="false" ht="15" hidden="false" customHeight="false" outlineLevel="0" collapsed="false">
      <c r="A9" s="4" t="str">
        <f aca="false">Assumptions!A22</f>
        <v>Jan 2027</v>
      </c>
      <c r="B9" s="15" t="n">
        <f aca="false">Assumptions!B22*Assumptions!$B$5</f>
        <v>11200</v>
      </c>
      <c r="C9" s="15" t="n">
        <f aca="false">B9*Assumptions!$B$6</f>
        <v>33.6</v>
      </c>
      <c r="D9" s="15" t="n">
        <f aca="false">C9*Assumptions!$B$7</f>
        <v>5.04</v>
      </c>
      <c r="E9" s="17" t="n">
        <f aca="false">D9*(1-Assumptions!C22)*Assumptions!$B$8*Assumptions!D22</f>
        <v>0.06804</v>
      </c>
      <c r="F9" s="17" t="n">
        <f aca="false">D9*Assumptions!C22*Assumptions!$B$11*Assumptions!D22</f>
        <v>0.031752</v>
      </c>
      <c r="G9" s="18" t="n">
        <f aca="false">E9*Assumptions!$B$9*Assumptions!$B$10+F9*Assumptions!$B$12*Assumptions!$B$13</f>
        <v>0.106029</v>
      </c>
      <c r="H9" s="19" t="n">
        <f aca="false">G9-Assumptions!$B$14</f>
        <v>-22.893971</v>
      </c>
      <c r="I9" s="17" t="n">
        <f aca="false">SUM(E$6:E9)</f>
        <v>0.234036</v>
      </c>
      <c r="J9" s="15" t="n">
        <f aca="false">Assumptions!B22*Assumptions!$C$5</f>
        <v>28000</v>
      </c>
      <c r="K9" s="15" t="n">
        <f aca="false">J9*Assumptions!$C$6</f>
        <v>168</v>
      </c>
      <c r="L9" s="15" t="n">
        <f aca="false">K9*Assumptions!$C$7</f>
        <v>42</v>
      </c>
      <c r="M9" s="17" t="n">
        <f aca="false">L9*(1-Assumptions!C22)*Assumptions!$C$8*Assumptions!D22</f>
        <v>0.945</v>
      </c>
      <c r="N9" s="17" t="n">
        <f aca="false">L9*Assumptions!C22*Assumptions!$C$11*Assumptions!D22</f>
        <v>0.378</v>
      </c>
      <c r="O9" s="18" t="n">
        <f aca="false">M9*Assumptions!$C$9*Assumptions!$C$10+N9*Assumptions!$C$12*Assumptions!$C$13</f>
        <v>2.44755</v>
      </c>
      <c r="P9" s="19" t="n">
        <f aca="false">O9-Assumptions!$C$14</f>
        <v>-20.55245</v>
      </c>
      <c r="Q9" s="17" t="n">
        <f aca="false">SUM(M$6:M9)</f>
        <v>3.2505</v>
      </c>
      <c r="R9" s="15" t="n">
        <f aca="false">Assumptions!B22*Assumptions!$D$5</f>
        <v>70000</v>
      </c>
      <c r="S9" s="15" t="n">
        <f aca="false">R9*Assumptions!$D$6</f>
        <v>700</v>
      </c>
      <c r="T9" s="15" t="n">
        <f aca="false">S9*Assumptions!$D$7</f>
        <v>245</v>
      </c>
      <c r="U9" s="17" t="n">
        <f aca="false">T9*(1-Assumptions!C22)*Assumptions!$D$8*Assumptions!D22</f>
        <v>8.82</v>
      </c>
      <c r="V9" s="17" t="n">
        <f aca="false">T9*Assumptions!C22*Assumptions!$D$11*Assumptions!D22</f>
        <v>3.3075</v>
      </c>
      <c r="W9" s="18" t="n">
        <f aca="false">U9*Assumptions!$D$9*Assumptions!$D$10+V9*Assumptions!$D$12*Assumptions!$D$13</f>
        <v>38.201625</v>
      </c>
      <c r="X9" s="19" t="n">
        <f aca="false">W9-Assumptions!$D$14</f>
        <v>15.201625</v>
      </c>
      <c r="Y9" s="17" t="n">
        <f aca="false">SUM(U$6:U9)</f>
        <v>30.338</v>
      </c>
    </row>
    <row r="10" customFormat="false" ht="15" hidden="false" customHeight="false" outlineLevel="0" collapsed="false">
      <c r="A10" s="4" t="str">
        <f aca="false">Assumptions!A23</f>
        <v>Feb 2027</v>
      </c>
      <c r="B10" s="15" t="n">
        <f aca="false">Assumptions!B23*Assumptions!$B$5</f>
        <v>15200</v>
      </c>
      <c r="C10" s="15" t="n">
        <f aca="false">B10*Assumptions!$B$6</f>
        <v>45.6</v>
      </c>
      <c r="D10" s="15" t="n">
        <f aca="false">C10*Assumptions!$B$7</f>
        <v>6.84</v>
      </c>
      <c r="E10" s="17" t="n">
        <f aca="false">D10*(1-Assumptions!C23)*Assumptions!$B$8*Assumptions!D23</f>
        <v>0.09234</v>
      </c>
      <c r="F10" s="17" t="n">
        <f aca="false">D10*Assumptions!C23*Assumptions!$B$11*Assumptions!D23</f>
        <v>0.043092</v>
      </c>
      <c r="G10" s="18" t="n">
        <f aca="false">E10*Assumptions!$B$9*Assumptions!$B$10+F10*Assumptions!$B$12*Assumptions!$B$13</f>
        <v>0.1438965</v>
      </c>
      <c r="H10" s="19" t="n">
        <f aca="false">G10-Assumptions!$B$14</f>
        <v>-22.8561035</v>
      </c>
      <c r="I10" s="17" t="n">
        <f aca="false">SUM(E$6:E10)</f>
        <v>0.326376</v>
      </c>
      <c r="J10" s="15" t="n">
        <f aca="false">Assumptions!B23*Assumptions!$C$5</f>
        <v>38000</v>
      </c>
      <c r="K10" s="15" t="n">
        <f aca="false">J10*Assumptions!$C$6</f>
        <v>228</v>
      </c>
      <c r="L10" s="15" t="n">
        <f aca="false">K10*Assumptions!$C$7</f>
        <v>57</v>
      </c>
      <c r="M10" s="17" t="n">
        <f aca="false">L10*(1-Assumptions!C23)*Assumptions!$C$8*Assumptions!D23</f>
        <v>1.2825</v>
      </c>
      <c r="N10" s="17" t="n">
        <f aca="false">L10*Assumptions!C23*Assumptions!$C$11*Assumptions!D23</f>
        <v>0.513</v>
      </c>
      <c r="O10" s="18" t="n">
        <f aca="false">M10*Assumptions!$C$9*Assumptions!$C$10+N10*Assumptions!$C$12*Assumptions!$C$13</f>
        <v>3.321675</v>
      </c>
      <c r="P10" s="19" t="n">
        <f aca="false">O10-Assumptions!$C$14</f>
        <v>-19.678325</v>
      </c>
      <c r="Q10" s="17" t="n">
        <f aca="false">SUM(M$6:M10)</f>
        <v>4.533</v>
      </c>
      <c r="R10" s="15" t="n">
        <f aca="false">Assumptions!B23*Assumptions!$D$5</f>
        <v>95000</v>
      </c>
      <c r="S10" s="15" t="n">
        <f aca="false">R10*Assumptions!$D$6</f>
        <v>950</v>
      </c>
      <c r="T10" s="15" t="n">
        <f aca="false">S10*Assumptions!$D$7</f>
        <v>332.5</v>
      </c>
      <c r="U10" s="17" t="n">
        <f aca="false">T10*(1-Assumptions!C23)*Assumptions!$D$8*Assumptions!D23</f>
        <v>11.97</v>
      </c>
      <c r="V10" s="17" t="n">
        <f aca="false">T10*Assumptions!C23*Assumptions!$D$11*Assumptions!D23</f>
        <v>4.48875</v>
      </c>
      <c r="W10" s="18" t="n">
        <f aca="false">U10*Assumptions!$D$9*Assumptions!$D$10+V10*Assumptions!$D$12*Assumptions!$D$13</f>
        <v>51.8450625</v>
      </c>
      <c r="X10" s="19" t="n">
        <f aca="false">W10-Assumptions!$D$14</f>
        <v>28.8450625</v>
      </c>
      <c r="Y10" s="17" t="n">
        <f aca="false">SUM(U$6:U10)</f>
        <v>42.308</v>
      </c>
    </row>
    <row r="11" customFormat="false" ht="15" hidden="false" customHeight="false" outlineLevel="0" collapsed="false">
      <c r="A11" s="4" t="str">
        <f aca="false">Assumptions!A24</f>
        <v>Mar 2027</v>
      </c>
      <c r="B11" s="15" t="n">
        <f aca="false">Assumptions!B24*Assumptions!$B$5</f>
        <v>20000</v>
      </c>
      <c r="C11" s="15" t="n">
        <f aca="false">B11*Assumptions!$B$6</f>
        <v>60</v>
      </c>
      <c r="D11" s="15" t="n">
        <f aca="false">C11*Assumptions!$B$7</f>
        <v>9</v>
      </c>
      <c r="E11" s="17" t="n">
        <f aca="false">D11*(1-Assumptions!C24)*Assumptions!$B$8*Assumptions!D24</f>
        <v>0.135</v>
      </c>
      <c r="F11" s="17" t="n">
        <f aca="false">D11*Assumptions!C24*Assumptions!$B$11*Assumptions!D24</f>
        <v>0.063</v>
      </c>
      <c r="G11" s="18" t="n">
        <f aca="false">E11*Assumptions!$B$9*Assumptions!$B$10+F11*Assumptions!$B$12*Assumptions!$B$13</f>
        <v>0.210375</v>
      </c>
      <c r="H11" s="19" t="n">
        <f aca="false">G11-Assumptions!$B$14</f>
        <v>-22.789625</v>
      </c>
      <c r="I11" s="17" t="n">
        <f aca="false">SUM(E$6:E11)</f>
        <v>0.461376</v>
      </c>
      <c r="J11" s="15" t="n">
        <f aca="false">Assumptions!B24*Assumptions!$C$5</f>
        <v>50000</v>
      </c>
      <c r="K11" s="15" t="n">
        <f aca="false">J11*Assumptions!$C$6</f>
        <v>300</v>
      </c>
      <c r="L11" s="15" t="n">
        <f aca="false">K11*Assumptions!$C$7</f>
        <v>75</v>
      </c>
      <c r="M11" s="17" t="n">
        <f aca="false">L11*(1-Assumptions!C24)*Assumptions!$C$8*Assumptions!D24</f>
        <v>1.875</v>
      </c>
      <c r="N11" s="17" t="n">
        <f aca="false">L11*Assumptions!C24*Assumptions!$C$11*Assumptions!D24</f>
        <v>0.75</v>
      </c>
      <c r="O11" s="18" t="n">
        <f aca="false">M11*Assumptions!$C$9*Assumptions!$C$10+N11*Assumptions!$C$12*Assumptions!$C$13</f>
        <v>4.85625</v>
      </c>
      <c r="P11" s="19" t="n">
        <f aca="false">O11-Assumptions!$C$14</f>
        <v>-18.14375</v>
      </c>
      <c r="Q11" s="17" t="n">
        <f aca="false">SUM(M$6:M11)</f>
        <v>6.408</v>
      </c>
      <c r="R11" s="15" t="n">
        <f aca="false">Assumptions!B24*Assumptions!$D$5</f>
        <v>125000</v>
      </c>
      <c r="S11" s="15" t="n">
        <f aca="false">R11*Assumptions!$D$6</f>
        <v>1250</v>
      </c>
      <c r="T11" s="15" t="n">
        <f aca="false">S11*Assumptions!$D$7</f>
        <v>437.5</v>
      </c>
      <c r="U11" s="17" t="n">
        <f aca="false">T11*(1-Assumptions!C24)*Assumptions!$D$8*Assumptions!D24</f>
        <v>17.5</v>
      </c>
      <c r="V11" s="17" t="n">
        <f aca="false">T11*Assumptions!C24*Assumptions!$D$11*Assumptions!D24</f>
        <v>6.5625</v>
      </c>
      <c r="W11" s="18" t="n">
        <f aca="false">U11*Assumptions!$D$9*Assumptions!$D$10+V11*Assumptions!$D$12*Assumptions!$D$13</f>
        <v>75.796875</v>
      </c>
      <c r="X11" s="19" t="n">
        <f aca="false">W11-Assumptions!$D$14</f>
        <v>52.796875</v>
      </c>
      <c r="Y11" s="17" t="n">
        <f aca="false">SUM(U$6:U11)</f>
        <v>59.808</v>
      </c>
    </row>
    <row r="12" customFormat="false" ht="15" hidden="false" customHeight="false" outlineLevel="0" collapsed="false">
      <c r="A12" s="4" t="str">
        <f aca="false">Assumptions!A25</f>
        <v>Apr 2027</v>
      </c>
      <c r="B12" s="15" t="n">
        <f aca="false">Assumptions!B25*Assumptions!$B$5</f>
        <v>24000</v>
      </c>
      <c r="C12" s="15" t="n">
        <f aca="false">B12*Assumptions!$B$6</f>
        <v>72</v>
      </c>
      <c r="D12" s="15" t="n">
        <f aca="false">C12*Assumptions!$B$7</f>
        <v>10.8</v>
      </c>
      <c r="E12" s="17" t="n">
        <f aca="false">D12*(1-Assumptions!C25)*Assumptions!$B$8*Assumptions!D25</f>
        <v>0.162</v>
      </c>
      <c r="F12" s="17" t="n">
        <f aca="false">D12*Assumptions!C25*Assumptions!$B$11*Assumptions!D25</f>
        <v>0.0756</v>
      </c>
      <c r="G12" s="18" t="n">
        <f aca="false">E12*Assumptions!$B$9*Assumptions!$B$10+F12*Assumptions!$B$12*Assumptions!$B$13</f>
        <v>0.25245</v>
      </c>
      <c r="H12" s="19" t="n">
        <f aca="false">G12-Assumptions!$B$14</f>
        <v>-22.74755</v>
      </c>
      <c r="I12" s="17" t="n">
        <f aca="false">SUM(E$6:E12)</f>
        <v>0.623376</v>
      </c>
      <c r="J12" s="15" t="n">
        <f aca="false">Assumptions!B25*Assumptions!$C$5</f>
        <v>60000</v>
      </c>
      <c r="K12" s="15" t="n">
        <f aca="false">J12*Assumptions!$C$6</f>
        <v>360</v>
      </c>
      <c r="L12" s="15" t="n">
        <f aca="false">K12*Assumptions!$C$7</f>
        <v>90</v>
      </c>
      <c r="M12" s="17" t="n">
        <f aca="false">L12*(1-Assumptions!C25)*Assumptions!$C$8*Assumptions!D25</f>
        <v>2.25</v>
      </c>
      <c r="N12" s="17" t="n">
        <f aca="false">L12*Assumptions!C25*Assumptions!$C$11*Assumptions!D25</f>
        <v>0.9</v>
      </c>
      <c r="O12" s="18" t="n">
        <f aca="false">M12*Assumptions!$C$9*Assumptions!$C$10+N12*Assumptions!$C$12*Assumptions!$C$13</f>
        <v>5.8275</v>
      </c>
      <c r="P12" s="19" t="n">
        <f aca="false">O12-Assumptions!$C$14</f>
        <v>-17.1725</v>
      </c>
      <c r="Q12" s="17" t="n">
        <f aca="false">SUM(M$6:M12)</f>
        <v>8.658</v>
      </c>
      <c r="R12" s="15" t="n">
        <f aca="false">Assumptions!B25*Assumptions!$D$5</f>
        <v>150000</v>
      </c>
      <c r="S12" s="15" t="n">
        <f aca="false">R12*Assumptions!$D$6</f>
        <v>1500</v>
      </c>
      <c r="T12" s="15" t="n">
        <f aca="false">S12*Assumptions!$D$7</f>
        <v>525</v>
      </c>
      <c r="U12" s="17" t="n">
        <f aca="false">T12*(1-Assumptions!C25)*Assumptions!$D$8*Assumptions!D25</f>
        <v>21</v>
      </c>
      <c r="V12" s="17" t="n">
        <f aca="false">T12*Assumptions!C25*Assumptions!$D$11*Assumptions!D25</f>
        <v>7.875</v>
      </c>
      <c r="W12" s="18" t="n">
        <f aca="false">U12*Assumptions!$D$9*Assumptions!$D$10+V12*Assumptions!$D$12*Assumptions!$D$13</f>
        <v>90.95625</v>
      </c>
      <c r="X12" s="19" t="n">
        <f aca="false">W12-Assumptions!$D$14</f>
        <v>67.95625</v>
      </c>
      <c r="Y12" s="17" t="n">
        <f aca="false">SUM(U$6:U12)</f>
        <v>80.808</v>
      </c>
    </row>
    <row r="13" customFormat="false" ht="15" hidden="false" customHeight="false" outlineLevel="0" collapsed="false">
      <c r="A13" s="4" t="str">
        <f aca="false">Assumptions!A26</f>
        <v>May 2027</v>
      </c>
      <c r="B13" s="15" t="n">
        <f aca="false">Assumptions!B26*Assumptions!$B$5</f>
        <v>28000</v>
      </c>
      <c r="C13" s="15" t="n">
        <f aca="false">B13*Assumptions!$B$6</f>
        <v>84</v>
      </c>
      <c r="D13" s="15" t="n">
        <f aca="false">C13*Assumptions!$B$7</f>
        <v>12.6</v>
      </c>
      <c r="E13" s="17" t="n">
        <f aca="false">D13*(1-Assumptions!C26)*Assumptions!$B$8*Assumptions!D26</f>
        <v>0.189</v>
      </c>
      <c r="F13" s="17" t="n">
        <f aca="false">D13*Assumptions!C26*Assumptions!$B$11*Assumptions!D26</f>
        <v>0.0882</v>
      </c>
      <c r="G13" s="18" t="n">
        <f aca="false">E13*Assumptions!$B$9*Assumptions!$B$10+F13*Assumptions!$B$12*Assumptions!$B$13</f>
        <v>0.294525</v>
      </c>
      <c r="H13" s="19" t="n">
        <f aca="false">G13-Assumptions!$B$14</f>
        <v>-22.705475</v>
      </c>
      <c r="I13" s="17" t="n">
        <f aca="false">SUM(E$6:E13)</f>
        <v>0.812376</v>
      </c>
      <c r="J13" s="15" t="n">
        <f aca="false">Assumptions!B26*Assumptions!$C$5</f>
        <v>70000</v>
      </c>
      <c r="K13" s="15" t="n">
        <f aca="false">J13*Assumptions!$C$6</f>
        <v>420</v>
      </c>
      <c r="L13" s="15" t="n">
        <f aca="false">K13*Assumptions!$C$7</f>
        <v>105</v>
      </c>
      <c r="M13" s="17" t="n">
        <f aca="false">L13*(1-Assumptions!C26)*Assumptions!$C$8*Assumptions!D26</f>
        <v>2.625</v>
      </c>
      <c r="N13" s="17" t="n">
        <f aca="false">L13*Assumptions!C26*Assumptions!$C$11*Assumptions!D26</f>
        <v>1.05</v>
      </c>
      <c r="O13" s="18" t="n">
        <f aca="false">M13*Assumptions!$C$9*Assumptions!$C$10+N13*Assumptions!$C$12*Assumptions!$C$13</f>
        <v>6.79875</v>
      </c>
      <c r="P13" s="19" t="n">
        <f aca="false">O13-Assumptions!$C$14</f>
        <v>-16.20125</v>
      </c>
      <c r="Q13" s="17" t="n">
        <f aca="false">SUM(M$6:M13)</f>
        <v>11.283</v>
      </c>
      <c r="R13" s="15" t="n">
        <f aca="false">Assumptions!B26*Assumptions!$D$5</f>
        <v>175000</v>
      </c>
      <c r="S13" s="15" t="n">
        <f aca="false">R13*Assumptions!$D$6</f>
        <v>1750</v>
      </c>
      <c r="T13" s="15" t="n">
        <f aca="false">S13*Assumptions!$D$7</f>
        <v>612.5</v>
      </c>
      <c r="U13" s="17" t="n">
        <f aca="false">T13*(1-Assumptions!C26)*Assumptions!$D$8*Assumptions!D26</f>
        <v>24.5</v>
      </c>
      <c r="V13" s="17" t="n">
        <f aca="false">T13*Assumptions!C26*Assumptions!$D$11*Assumptions!D26</f>
        <v>9.1875</v>
      </c>
      <c r="W13" s="18" t="n">
        <f aca="false">U13*Assumptions!$D$9*Assumptions!$D$10+V13*Assumptions!$D$12*Assumptions!$D$13</f>
        <v>106.115625</v>
      </c>
      <c r="X13" s="19" t="n">
        <f aca="false">W13-Assumptions!$D$14</f>
        <v>83.115625</v>
      </c>
      <c r="Y13" s="17" t="n">
        <f aca="false">SUM(U$6:U13)</f>
        <v>105.308</v>
      </c>
    </row>
    <row r="14" customFormat="false" ht="15" hidden="false" customHeight="false" outlineLevel="0" collapsed="false">
      <c r="A14" s="4" t="str">
        <f aca="false">Assumptions!A27</f>
        <v>Jun 2027</v>
      </c>
      <c r="B14" s="15" t="n">
        <f aca="false">Assumptions!B27*Assumptions!$B$5</f>
        <v>32000</v>
      </c>
      <c r="C14" s="15" t="n">
        <f aca="false">B14*Assumptions!$B$6</f>
        <v>96</v>
      </c>
      <c r="D14" s="15" t="n">
        <f aca="false">C14*Assumptions!$B$7</f>
        <v>14.4</v>
      </c>
      <c r="E14" s="17" t="n">
        <f aca="false">D14*(1-Assumptions!C27)*Assumptions!$B$8*Assumptions!D27</f>
        <v>0.216</v>
      </c>
      <c r="F14" s="17" t="n">
        <f aca="false">D14*Assumptions!C27*Assumptions!$B$11*Assumptions!D27</f>
        <v>0.1008</v>
      </c>
      <c r="G14" s="18" t="n">
        <f aca="false">E14*Assumptions!$B$9*Assumptions!$B$10+F14*Assumptions!$B$12*Assumptions!$B$13</f>
        <v>0.3366</v>
      </c>
      <c r="H14" s="19" t="n">
        <f aca="false">G14-Assumptions!$B$14</f>
        <v>-22.6634</v>
      </c>
      <c r="I14" s="17" t="n">
        <f aca="false">SUM(E$6:E14)</f>
        <v>1.028376</v>
      </c>
      <c r="J14" s="15" t="n">
        <f aca="false">Assumptions!B27*Assumptions!$C$5</f>
        <v>80000</v>
      </c>
      <c r="K14" s="15" t="n">
        <f aca="false">J14*Assumptions!$C$6</f>
        <v>480</v>
      </c>
      <c r="L14" s="15" t="n">
        <f aca="false">K14*Assumptions!$C$7</f>
        <v>120</v>
      </c>
      <c r="M14" s="17" t="n">
        <f aca="false">L14*(1-Assumptions!C27)*Assumptions!$C$8*Assumptions!D27</f>
        <v>3</v>
      </c>
      <c r="N14" s="17" t="n">
        <f aca="false">L14*Assumptions!C27*Assumptions!$C$11*Assumptions!D27</f>
        <v>1.2</v>
      </c>
      <c r="O14" s="18" t="n">
        <f aca="false">M14*Assumptions!$C$9*Assumptions!$C$10+N14*Assumptions!$C$12*Assumptions!$C$13</f>
        <v>7.77</v>
      </c>
      <c r="P14" s="19" t="n">
        <f aca="false">O14-Assumptions!$C$14</f>
        <v>-15.23</v>
      </c>
      <c r="Q14" s="17" t="n">
        <f aca="false">SUM(M$6:M14)</f>
        <v>14.283</v>
      </c>
      <c r="R14" s="15" t="n">
        <f aca="false">Assumptions!B27*Assumptions!$D$5</f>
        <v>200000</v>
      </c>
      <c r="S14" s="15" t="n">
        <f aca="false">R14*Assumptions!$D$6</f>
        <v>2000</v>
      </c>
      <c r="T14" s="15" t="n">
        <f aca="false">S14*Assumptions!$D$7</f>
        <v>700</v>
      </c>
      <c r="U14" s="17" t="n">
        <f aca="false">T14*(1-Assumptions!C27)*Assumptions!$D$8*Assumptions!D27</f>
        <v>28</v>
      </c>
      <c r="V14" s="17" t="n">
        <f aca="false">T14*Assumptions!C27*Assumptions!$D$11*Assumptions!D27</f>
        <v>10.5</v>
      </c>
      <c r="W14" s="18" t="n">
        <f aca="false">U14*Assumptions!$D$9*Assumptions!$D$10+V14*Assumptions!$D$12*Assumptions!$D$13</f>
        <v>121.275</v>
      </c>
      <c r="X14" s="19" t="n">
        <f aca="false">W14-Assumptions!$D$14</f>
        <v>98.275</v>
      </c>
      <c r="Y14" s="17" t="n">
        <f aca="false">SUM(U$6:U14)</f>
        <v>133.308</v>
      </c>
    </row>
    <row r="15" customFormat="false" ht="15" hidden="false" customHeight="false" outlineLevel="0" collapsed="false">
      <c r="A15" s="4" t="str">
        <f aca="false">Assumptions!A28</f>
        <v>Jul 2027</v>
      </c>
      <c r="B15" s="15" t="n">
        <f aca="false">Assumptions!B28*Assumptions!$B$5</f>
        <v>36000</v>
      </c>
      <c r="C15" s="15" t="n">
        <f aca="false">B15*Assumptions!$B$6</f>
        <v>108</v>
      </c>
      <c r="D15" s="15" t="n">
        <f aca="false">C15*Assumptions!$B$7</f>
        <v>16.2</v>
      </c>
      <c r="E15" s="17" t="n">
        <f aca="false">D15*(1-Assumptions!C28)*Assumptions!$B$8*Assumptions!D28</f>
        <v>0.243</v>
      </c>
      <c r="F15" s="17" t="n">
        <f aca="false">D15*Assumptions!C28*Assumptions!$B$11*Assumptions!D28</f>
        <v>0.1134</v>
      </c>
      <c r="G15" s="18" t="n">
        <f aca="false">E15*Assumptions!$B$9*Assumptions!$B$10+F15*Assumptions!$B$12*Assumptions!$B$13</f>
        <v>0.378675</v>
      </c>
      <c r="H15" s="19" t="n">
        <f aca="false">G15-Assumptions!$B$14</f>
        <v>-22.621325</v>
      </c>
      <c r="I15" s="17" t="n">
        <f aca="false">SUM(E$6:E15)</f>
        <v>1.271376</v>
      </c>
      <c r="J15" s="15" t="n">
        <f aca="false">Assumptions!B28*Assumptions!$C$5</f>
        <v>90000</v>
      </c>
      <c r="K15" s="15" t="n">
        <f aca="false">J15*Assumptions!$C$6</f>
        <v>540</v>
      </c>
      <c r="L15" s="15" t="n">
        <f aca="false">K15*Assumptions!$C$7</f>
        <v>135</v>
      </c>
      <c r="M15" s="17" t="n">
        <f aca="false">L15*(1-Assumptions!C28)*Assumptions!$C$8*Assumptions!D28</f>
        <v>3.375</v>
      </c>
      <c r="N15" s="17" t="n">
        <f aca="false">L15*Assumptions!C28*Assumptions!$C$11*Assumptions!D28</f>
        <v>1.35</v>
      </c>
      <c r="O15" s="18" t="n">
        <f aca="false">M15*Assumptions!$C$9*Assumptions!$C$10+N15*Assumptions!$C$12*Assumptions!$C$13</f>
        <v>8.74125</v>
      </c>
      <c r="P15" s="19" t="n">
        <f aca="false">O15-Assumptions!$C$14</f>
        <v>-14.25875</v>
      </c>
      <c r="Q15" s="17" t="n">
        <f aca="false">SUM(M$6:M15)</f>
        <v>17.658</v>
      </c>
      <c r="R15" s="15" t="n">
        <f aca="false">Assumptions!B28*Assumptions!$D$5</f>
        <v>225000</v>
      </c>
      <c r="S15" s="15" t="n">
        <f aca="false">R15*Assumptions!$D$6</f>
        <v>2250</v>
      </c>
      <c r="T15" s="15" t="n">
        <f aca="false">S15*Assumptions!$D$7</f>
        <v>787.5</v>
      </c>
      <c r="U15" s="17" t="n">
        <f aca="false">T15*(1-Assumptions!C28)*Assumptions!$D$8*Assumptions!D28</f>
        <v>31.5</v>
      </c>
      <c r="V15" s="17" t="n">
        <f aca="false">T15*Assumptions!C28*Assumptions!$D$11*Assumptions!D28</f>
        <v>11.8125</v>
      </c>
      <c r="W15" s="18" t="n">
        <f aca="false">U15*Assumptions!$D$9*Assumptions!$D$10+V15*Assumptions!$D$12*Assumptions!$D$13</f>
        <v>136.434375</v>
      </c>
      <c r="X15" s="19" t="n">
        <f aca="false">W15-Assumptions!$D$14</f>
        <v>113.434375</v>
      </c>
      <c r="Y15" s="17" t="n">
        <f aca="false">SUM(U$6:U15)</f>
        <v>164.808</v>
      </c>
    </row>
    <row r="16" customFormat="false" ht="15" hidden="false" customHeight="false" outlineLevel="0" collapsed="false">
      <c r="A16" s="4" t="str">
        <f aca="false">Assumptions!A29</f>
        <v>Aug 2027</v>
      </c>
      <c r="B16" s="15" t="n">
        <f aca="false">Assumptions!B29*Assumptions!$B$5</f>
        <v>40000</v>
      </c>
      <c r="C16" s="15" t="n">
        <f aca="false">B16*Assumptions!$B$6</f>
        <v>120</v>
      </c>
      <c r="D16" s="15" t="n">
        <f aca="false">C16*Assumptions!$B$7</f>
        <v>18</v>
      </c>
      <c r="E16" s="17" t="n">
        <f aca="false">D16*(1-Assumptions!C29)*Assumptions!$B$8*Assumptions!D29</f>
        <v>0.27</v>
      </c>
      <c r="F16" s="17" t="n">
        <f aca="false">D16*Assumptions!C29*Assumptions!$B$11*Assumptions!D29</f>
        <v>0.126</v>
      </c>
      <c r="G16" s="18" t="n">
        <f aca="false">E16*Assumptions!$B$9*Assumptions!$B$10+F16*Assumptions!$B$12*Assumptions!$B$13</f>
        <v>0.42075</v>
      </c>
      <c r="H16" s="19" t="n">
        <f aca="false">G16-Assumptions!$B$14</f>
        <v>-22.57925</v>
      </c>
      <c r="I16" s="17" t="n">
        <f aca="false">SUM(E$6:E16)</f>
        <v>1.541376</v>
      </c>
      <c r="J16" s="15" t="n">
        <f aca="false">Assumptions!B29*Assumptions!$C$5</f>
        <v>100000</v>
      </c>
      <c r="K16" s="15" t="n">
        <f aca="false">J16*Assumptions!$C$6</f>
        <v>600</v>
      </c>
      <c r="L16" s="15" t="n">
        <f aca="false">K16*Assumptions!$C$7</f>
        <v>150</v>
      </c>
      <c r="M16" s="17" t="n">
        <f aca="false">L16*(1-Assumptions!C29)*Assumptions!$C$8*Assumptions!D29</f>
        <v>3.75</v>
      </c>
      <c r="N16" s="17" t="n">
        <f aca="false">L16*Assumptions!C29*Assumptions!$C$11*Assumptions!D29</f>
        <v>1.5</v>
      </c>
      <c r="O16" s="18" t="n">
        <f aca="false">M16*Assumptions!$C$9*Assumptions!$C$10+N16*Assumptions!$C$12*Assumptions!$C$13</f>
        <v>9.7125</v>
      </c>
      <c r="P16" s="19" t="n">
        <f aca="false">O16-Assumptions!$C$14</f>
        <v>-13.2875</v>
      </c>
      <c r="Q16" s="17" t="n">
        <f aca="false">SUM(M$6:M16)</f>
        <v>21.408</v>
      </c>
      <c r="R16" s="15" t="n">
        <f aca="false">Assumptions!B29*Assumptions!$D$5</f>
        <v>250000</v>
      </c>
      <c r="S16" s="15" t="n">
        <f aca="false">R16*Assumptions!$D$6</f>
        <v>2500</v>
      </c>
      <c r="T16" s="15" t="n">
        <f aca="false">S16*Assumptions!$D$7</f>
        <v>875</v>
      </c>
      <c r="U16" s="17" t="n">
        <f aca="false">T16*(1-Assumptions!C29)*Assumptions!$D$8*Assumptions!D29</f>
        <v>35</v>
      </c>
      <c r="V16" s="17" t="n">
        <f aca="false">T16*Assumptions!C29*Assumptions!$D$11*Assumptions!D29</f>
        <v>13.125</v>
      </c>
      <c r="W16" s="18" t="n">
        <f aca="false">U16*Assumptions!$D$9*Assumptions!$D$10+V16*Assumptions!$D$12*Assumptions!$D$13</f>
        <v>151.59375</v>
      </c>
      <c r="X16" s="19" t="n">
        <f aca="false">W16-Assumptions!$D$14</f>
        <v>128.59375</v>
      </c>
      <c r="Y16" s="17" t="n">
        <f aca="false">SUM(U$6:U16)</f>
        <v>199.808</v>
      </c>
    </row>
    <row r="17" customFormat="false" ht="15" hidden="false" customHeight="false" outlineLevel="0" collapsed="false">
      <c r="A17" s="4" t="str">
        <f aca="false">Assumptions!A30</f>
        <v>Sep 2027</v>
      </c>
      <c r="B17" s="15" t="n">
        <f aca="false">Assumptions!B30*Assumptions!$B$5</f>
        <v>44000</v>
      </c>
      <c r="C17" s="15" t="n">
        <f aca="false">B17*Assumptions!$B$6</f>
        <v>132</v>
      </c>
      <c r="D17" s="15" t="n">
        <f aca="false">C17*Assumptions!$B$7</f>
        <v>19.8</v>
      </c>
      <c r="E17" s="17" t="n">
        <f aca="false">D17*(1-Assumptions!C30)*Assumptions!$B$8*Assumptions!D30</f>
        <v>0.297</v>
      </c>
      <c r="F17" s="17" t="n">
        <f aca="false">D17*Assumptions!C30*Assumptions!$B$11*Assumptions!D30</f>
        <v>0.1386</v>
      </c>
      <c r="G17" s="18" t="n">
        <f aca="false">E17*Assumptions!$B$9*Assumptions!$B$10+F17*Assumptions!$B$12*Assumptions!$B$13</f>
        <v>0.462825</v>
      </c>
      <c r="H17" s="19" t="n">
        <f aca="false">G17-Assumptions!$B$14</f>
        <v>-22.537175</v>
      </c>
      <c r="I17" s="17" t="n">
        <f aca="false">SUM(E$6:E17)</f>
        <v>1.838376</v>
      </c>
      <c r="J17" s="15" t="n">
        <f aca="false">Assumptions!B30*Assumptions!$C$5</f>
        <v>110000</v>
      </c>
      <c r="K17" s="15" t="n">
        <f aca="false">J17*Assumptions!$C$6</f>
        <v>660</v>
      </c>
      <c r="L17" s="15" t="n">
        <f aca="false">K17*Assumptions!$C$7</f>
        <v>165</v>
      </c>
      <c r="M17" s="17" t="n">
        <f aca="false">L17*(1-Assumptions!C30)*Assumptions!$C$8*Assumptions!D30</f>
        <v>4.125</v>
      </c>
      <c r="N17" s="17" t="n">
        <f aca="false">L17*Assumptions!C30*Assumptions!$C$11*Assumptions!D30</f>
        <v>1.65</v>
      </c>
      <c r="O17" s="18" t="n">
        <f aca="false">M17*Assumptions!$C$9*Assumptions!$C$10+N17*Assumptions!$C$12*Assumptions!$C$13</f>
        <v>10.68375</v>
      </c>
      <c r="P17" s="19" t="n">
        <f aca="false">O17-Assumptions!$C$14</f>
        <v>-12.31625</v>
      </c>
      <c r="Q17" s="17" t="n">
        <f aca="false">SUM(M$6:M17)</f>
        <v>25.533</v>
      </c>
      <c r="R17" s="15" t="n">
        <f aca="false">Assumptions!B30*Assumptions!$D$5</f>
        <v>275000</v>
      </c>
      <c r="S17" s="15" t="n">
        <f aca="false">R17*Assumptions!$D$6</f>
        <v>2750</v>
      </c>
      <c r="T17" s="15" t="n">
        <f aca="false">S17*Assumptions!$D$7</f>
        <v>962.5</v>
      </c>
      <c r="U17" s="17" t="n">
        <f aca="false">T17*(1-Assumptions!C30)*Assumptions!$D$8*Assumptions!D30</f>
        <v>38.5</v>
      </c>
      <c r="V17" s="17" t="n">
        <f aca="false">T17*Assumptions!C30*Assumptions!$D$11*Assumptions!D30</f>
        <v>14.4375</v>
      </c>
      <c r="W17" s="18" t="n">
        <f aca="false">U17*Assumptions!$D$9*Assumptions!$D$10+V17*Assumptions!$D$12*Assumptions!$D$13</f>
        <v>166.753125</v>
      </c>
      <c r="X17" s="19" t="n">
        <f aca="false">W17-Assumptions!$D$14</f>
        <v>143.753125</v>
      </c>
      <c r="Y17" s="17" t="n">
        <f aca="false">SUM(U$6:U17)</f>
        <v>238.308</v>
      </c>
    </row>
    <row r="18" customFormat="false" ht="15" hidden="false" customHeight="false" outlineLevel="0" collapsed="false">
      <c r="A18" s="4" t="str">
        <f aca="false">Assumptions!A31</f>
        <v>Oct 2027</v>
      </c>
      <c r="B18" s="15" t="n">
        <f aca="false">Assumptions!B31*Assumptions!$B$5</f>
        <v>48000</v>
      </c>
      <c r="C18" s="15" t="n">
        <f aca="false">B18*Assumptions!$B$6</f>
        <v>144</v>
      </c>
      <c r="D18" s="15" t="n">
        <f aca="false">C18*Assumptions!$B$7</f>
        <v>21.6</v>
      </c>
      <c r="E18" s="17" t="n">
        <f aca="false">D18*(1-Assumptions!C31)*Assumptions!$B$8*Assumptions!D31</f>
        <v>0.324</v>
      </c>
      <c r="F18" s="17" t="n">
        <f aca="false">D18*Assumptions!C31*Assumptions!$B$11*Assumptions!D31</f>
        <v>0.1512</v>
      </c>
      <c r="G18" s="18" t="n">
        <f aca="false">E18*Assumptions!$B$9*Assumptions!$B$10+F18*Assumptions!$B$12*Assumptions!$B$13</f>
        <v>0.5049</v>
      </c>
      <c r="H18" s="19" t="n">
        <f aca="false">G18-Assumptions!$B$14</f>
        <v>-22.4951</v>
      </c>
      <c r="I18" s="17" t="n">
        <f aca="false">SUM(E$6:E18)</f>
        <v>2.162376</v>
      </c>
      <c r="J18" s="15" t="n">
        <f aca="false">Assumptions!B31*Assumptions!$C$5</f>
        <v>120000</v>
      </c>
      <c r="K18" s="15" t="n">
        <f aca="false">J18*Assumptions!$C$6</f>
        <v>720</v>
      </c>
      <c r="L18" s="15" t="n">
        <f aca="false">K18*Assumptions!$C$7</f>
        <v>180</v>
      </c>
      <c r="M18" s="17" t="n">
        <f aca="false">L18*(1-Assumptions!C31)*Assumptions!$C$8*Assumptions!D31</f>
        <v>4.5</v>
      </c>
      <c r="N18" s="17" t="n">
        <f aca="false">L18*Assumptions!C31*Assumptions!$C$11*Assumptions!D31</f>
        <v>1.8</v>
      </c>
      <c r="O18" s="18" t="n">
        <f aca="false">M18*Assumptions!$C$9*Assumptions!$C$10+N18*Assumptions!$C$12*Assumptions!$C$13</f>
        <v>11.655</v>
      </c>
      <c r="P18" s="19" t="n">
        <f aca="false">O18-Assumptions!$C$14</f>
        <v>-11.345</v>
      </c>
      <c r="Q18" s="17" t="n">
        <f aca="false">SUM(M$6:M18)</f>
        <v>30.033</v>
      </c>
      <c r="R18" s="15" t="n">
        <f aca="false">Assumptions!B31*Assumptions!$D$5</f>
        <v>300000</v>
      </c>
      <c r="S18" s="15" t="n">
        <f aca="false">R18*Assumptions!$D$6</f>
        <v>3000</v>
      </c>
      <c r="T18" s="15" t="n">
        <f aca="false">S18*Assumptions!$D$7</f>
        <v>1050</v>
      </c>
      <c r="U18" s="17" t="n">
        <f aca="false">T18*(1-Assumptions!C31)*Assumptions!$D$8*Assumptions!D31</f>
        <v>42</v>
      </c>
      <c r="V18" s="17" t="n">
        <f aca="false">T18*Assumptions!C31*Assumptions!$D$11*Assumptions!D31</f>
        <v>15.75</v>
      </c>
      <c r="W18" s="18" t="n">
        <f aca="false">U18*Assumptions!$D$9*Assumptions!$D$10+V18*Assumptions!$D$12*Assumptions!$D$13</f>
        <v>181.9125</v>
      </c>
      <c r="X18" s="19" t="n">
        <f aca="false">W18-Assumptions!$D$14</f>
        <v>158.9125</v>
      </c>
      <c r="Y18" s="17" t="n">
        <f aca="false">SUM(U$6:U18)</f>
        <v>280.308</v>
      </c>
    </row>
    <row r="19" customFormat="false" ht="15" hidden="false" customHeight="false" outlineLevel="0" collapsed="false">
      <c r="A19" s="4" t="str">
        <f aca="false">Assumptions!A32</f>
        <v>Nov 2027</v>
      </c>
      <c r="B19" s="15" t="n">
        <f aca="false">Assumptions!B32*Assumptions!$B$5</f>
        <v>52000</v>
      </c>
      <c r="C19" s="15" t="n">
        <f aca="false">B19*Assumptions!$B$6</f>
        <v>156</v>
      </c>
      <c r="D19" s="15" t="n">
        <f aca="false">C19*Assumptions!$B$7</f>
        <v>23.4</v>
      </c>
      <c r="E19" s="17" t="n">
        <f aca="false">D19*(1-Assumptions!C32)*Assumptions!$B$8*Assumptions!D32</f>
        <v>0.3861</v>
      </c>
      <c r="F19" s="17" t="n">
        <f aca="false">D19*Assumptions!C32*Assumptions!$B$11*Assumptions!D32</f>
        <v>0.18018</v>
      </c>
      <c r="G19" s="18" t="n">
        <f aca="false">E19*Assumptions!$B$9*Assumptions!$B$10+F19*Assumptions!$B$12*Assumptions!$B$13</f>
        <v>0.6016725</v>
      </c>
      <c r="H19" s="19" t="n">
        <f aca="false">G19-Assumptions!$B$14</f>
        <v>-22.3983275</v>
      </c>
      <c r="I19" s="17" t="n">
        <f aca="false">SUM(E$6:E19)</f>
        <v>2.548476</v>
      </c>
      <c r="J19" s="15" t="n">
        <f aca="false">Assumptions!B32*Assumptions!$C$5</f>
        <v>130000</v>
      </c>
      <c r="K19" s="15" t="n">
        <f aca="false">J19*Assumptions!$C$6</f>
        <v>780</v>
      </c>
      <c r="L19" s="15" t="n">
        <f aca="false">K19*Assumptions!$C$7</f>
        <v>195</v>
      </c>
      <c r="M19" s="17" t="n">
        <f aca="false">L19*(1-Assumptions!C32)*Assumptions!$C$8*Assumptions!D32</f>
        <v>5.3625</v>
      </c>
      <c r="N19" s="17" t="n">
        <f aca="false">L19*Assumptions!C32*Assumptions!$C$11*Assumptions!D32</f>
        <v>2.145</v>
      </c>
      <c r="O19" s="18" t="n">
        <f aca="false">M19*Assumptions!$C$9*Assumptions!$C$10+N19*Assumptions!$C$12*Assumptions!$C$13</f>
        <v>13.888875</v>
      </c>
      <c r="P19" s="19" t="n">
        <f aca="false">O19-Assumptions!$C$14</f>
        <v>-9.111125</v>
      </c>
      <c r="Q19" s="17" t="n">
        <f aca="false">SUM(M$6:M19)</f>
        <v>35.3955</v>
      </c>
      <c r="R19" s="15" t="n">
        <f aca="false">Assumptions!B32*Assumptions!$D$5</f>
        <v>325000</v>
      </c>
      <c r="S19" s="15" t="n">
        <f aca="false">R19*Assumptions!$D$6</f>
        <v>3250</v>
      </c>
      <c r="T19" s="15" t="n">
        <f aca="false">S19*Assumptions!$D$7</f>
        <v>1137.5</v>
      </c>
      <c r="U19" s="17" t="n">
        <f aca="false">T19*(1-Assumptions!C32)*Assumptions!$D$8*Assumptions!D32</f>
        <v>50.05</v>
      </c>
      <c r="V19" s="17" t="n">
        <f aca="false">T19*Assumptions!C32*Assumptions!$D$11*Assumptions!D32</f>
        <v>18.76875</v>
      </c>
      <c r="W19" s="18" t="n">
        <f aca="false">U19*Assumptions!$D$9*Assumptions!$D$10+V19*Assumptions!$D$12*Assumptions!$D$13</f>
        <v>216.7790625</v>
      </c>
      <c r="X19" s="19" t="n">
        <f aca="false">W19-Assumptions!$D$14</f>
        <v>193.7790625</v>
      </c>
      <c r="Y19" s="17" t="n">
        <f aca="false">SUM(U$6:U19)</f>
        <v>330.358</v>
      </c>
    </row>
    <row r="20" customFormat="false" ht="15" hidden="false" customHeight="false" outlineLevel="0" collapsed="false">
      <c r="A20" s="4" t="str">
        <f aca="false">Assumptions!A33</f>
        <v>Dec 2027</v>
      </c>
      <c r="B20" s="15" t="n">
        <f aca="false">Assumptions!B33*Assumptions!$B$5</f>
        <v>56000</v>
      </c>
      <c r="C20" s="15" t="n">
        <f aca="false">B20*Assumptions!$B$6</f>
        <v>168</v>
      </c>
      <c r="D20" s="15" t="n">
        <f aca="false">C20*Assumptions!$B$7</f>
        <v>25.2</v>
      </c>
      <c r="E20" s="17" t="n">
        <f aca="false">D20*(1-Assumptions!C33)*Assumptions!$B$8*Assumptions!D33</f>
        <v>0.4914</v>
      </c>
      <c r="F20" s="17" t="n">
        <f aca="false">D20*Assumptions!C33*Assumptions!$B$11*Assumptions!D33</f>
        <v>0.22932</v>
      </c>
      <c r="G20" s="18" t="n">
        <f aca="false">E20*Assumptions!$B$9*Assumptions!$B$10+F20*Assumptions!$B$12*Assumptions!$B$13</f>
        <v>0.765765</v>
      </c>
      <c r="H20" s="19" t="n">
        <f aca="false">G20-Assumptions!$B$14</f>
        <v>-22.234235</v>
      </c>
      <c r="I20" s="17" t="n">
        <f aca="false">SUM(E$6:E20)</f>
        <v>3.039876</v>
      </c>
      <c r="J20" s="15" t="n">
        <f aca="false">Assumptions!B33*Assumptions!$C$5</f>
        <v>140000</v>
      </c>
      <c r="K20" s="15" t="n">
        <f aca="false">J20*Assumptions!$C$6</f>
        <v>840</v>
      </c>
      <c r="L20" s="15" t="n">
        <f aca="false">K20*Assumptions!$C$7</f>
        <v>210</v>
      </c>
      <c r="M20" s="17" t="n">
        <f aca="false">L20*(1-Assumptions!C33)*Assumptions!$C$8*Assumptions!D33</f>
        <v>6.825</v>
      </c>
      <c r="N20" s="17" t="n">
        <f aca="false">L20*Assumptions!C33*Assumptions!$C$11*Assumptions!D33</f>
        <v>2.73</v>
      </c>
      <c r="O20" s="18" t="n">
        <f aca="false">M20*Assumptions!$C$9*Assumptions!$C$10+N20*Assumptions!$C$12*Assumptions!$C$13</f>
        <v>17.67675</v>
      </c>
      <c r="P20" s="19" t="n">
        <f aca="false">O20-Assumptions!$C$14</f>
        <v>-5.32324999999999</v>
      </c>
      <c r="Q20" s="17" t="n">
        <f aca="false">SUM(M$6:M20)</f>
        <v>42.2205</v>
      </c>
      <c r="R20" s="15" t="n">
        <f aca="false">Assumptions!B33*Assumptions!$D$5</f>
        <v>350000</v>
      </c>
      <c r="S20" s="15" t="n">
        <f aca="false">R20*Assumptions!$D$6</f>
        <v>3500</v>
      </c>
      <c r="T20" s="15" t="n">
        <f aca="false">S20*Assumptions!$D$7</f>
        <v>1225</v>
      </c>
      <c r="U20" s="17" t="n">
        <f aca="false">T20*(1-Assumptions!C33)*Assumptions!$D$8*Assumptions!D33</f>
        <v>63.7</v>
      </c>
      <c r="V20" s="17" t="n">
        <f aca="false">T20*Assumptions!C33*Assumptions!$D$11*Assumptions!D33</f>
        <v>23.8875</v>
      </c>
      <c r="W20" s="18" t="n">
        <f aca="false">U20*Assumptions!$D$9*Assumptions!$D$10+V20*Assumptions!$D$12*Assumptions!$D$13</f>
        <v>275.900625</v>
      </c>
      <c r="X20" s="19" t="n">
        <f aca="false">W20-Assumptions!$D$14</f>
        <v>252.900625</v>
      </c>
      <c r="Y20" s="17" t="n">
        <f aca="false">SUM(U$6:U20)</f>
        <v>394.058</v>
      </c>
    </row>
    <row r="21" customFormat="false" ht="15" hidden="false" customHeight="false" outlineLevel="0" collapsed="false">
      <c r="A21" s="4" t="str">
        <f aca="false">Assumptions!A34</f>
        <v>Jan 2028</v>
      </c>
      <c r="B21" s="15" t="n">
        <f aca="false">Assumptions!B34*Assumptions!$B$5</f>
        <v>60000</v>
      </c>
      <c r="C21" s="15" t="n">
        <f aca="false">B21*Assumptions!$B$6</f>
        <v>180</v>
      </c>
      <c r="D21" s="15" t="n">
        <f aca="false">C21*Assumptions!$B$7</f>
        <v>27</v>
      </c>
      <c r="E21" s="17" t="n">
        <f aca="false">D21*(1-Assumptions!C34)*Assumptions!$B$8*Assumptions!D34</f>
        <v>0.3645</v>
      </c>
      <c r="F21" s="17" t="n">
        <f aca="false">D21*Assumptions!C34*Assumptions!$B$11*Assumptions!D34</f>
        <v>0.1701</v>
      </c>
      <c r="G21" s="18" t="n">
        <f aca="false">E21*Assumptions!$B$9*Assumptions!$B$10+F21*Assumptions!$B$12*Assumptions!$B$13</f>
        <v>0.5680125</v>
      </c>
      <c r="H21" s="19" t="n">
        <f aca="false">G21-Assumptions!$B$14</f>
        <v>-22.4319875</v>
      </c>
      <c r="I21" s="17" t="n">
        <f aca="false">SUM(E$6:E21)</f>
        <v>3.404376</v>
      </c>
      <c r="J21" s="15" t="n">
        <f aca="false">Assumptions!B34*Assumptions!$C$5</f>
        <v>150000</v>
      </c>
      <c r="K21" s="15" t="n">
        <f aca="false">J21*Assumptions!$C$6</f>
        <v>900</v>
      </c>
      <c r="L21" s="15" t="n">
        <f aca="false">K21*Assumptions!$C$7</f>
        <v>225</v>
      </c>
      <c r="M21" s="17" t="n">
        <f aca="false">L21*(1-Assumptions!C34)*Assumptions!$C$8*Assumptions!D34</f>
        <v>5.0625</v>
      </c>
      <c r="N21" s="17" t="n">
        <f aca="false">L21*Assumptions!C34*Assumptions!$C$11*Assumptions!D34</f>
        <v>2.025</v>
      </c>
      <c r="O21" s="18" t="n">
        <f aca="false">M21*Assumptions!$C$9*Assumptions!$C$10+N21*Assumptions!$C$12*Assumptions!$C$13</f>
        <v>13.111875</v>
      </c>
      <c r="P21" s="19" t="n">
        <f aca="false">O21-Assumptions!$C$14</f>
        <v>-9.888125</v>
      </c>
      <c r="Q21" s="17" t="n">
        <f aca="false">SUM(M$6:M21)</f>
        <v>47.283</v>
      </c>
      <c r="R21" s="15" t="n">
        <f aca="false">Assumptions!B34*Assumptions!$D$5</f>
        <v>375000</v>
      </c>
      <c r="S21" s="15" t="n">
        <f aca="false">R21*Assumptions!$D$6</f>
        <v>3750</v>
      </c>
      <c r="T21" s="15" t="n">
        <f aca="false">S21*Assumptions!$D$7</f>
        <v>1312.5</v>
      </c>
      <c r="U21" s="17" t="n">
        <f aca="false">T21*(1-Assumptions!C34)*Assumptions!$D$8*Assumptions!D34</f>
        <v>47.25</v>
      </c>
      <c r="V21" s="17" t="n">
        <f aca="false">T21*Assumptions!C34*Assumptions!$D$11*Assumptions!D34</f>
        <v>17.71875</v>
      </c>
      <c r="W21" s="18" t="n">
        <f aca="false">U21*Assumptions!$D$9*Assumptions!$D$10+V21*Assumptions!$D$12*Assumptions!$D$13</f>
        <v>204.6515625</v>
      </c>
      <c r="X21" s="19" t="n">
        <f aca="false">W21-Assumptions!$D$14</f>
        <v>181.6515625</v>
      </c>
      <c r="Y21" s="17" t="n">
        <f aca="false">SUM(U$6:U21)</f>
        <v>441.308</v>
      </c>
    </row>
    <row r="22" customFormat="false" ht="15" hidden="false" customHeight="false" outlineLevel="0" collapsed="false">
      <c r="A22" s="4" t="str">
        <f aca="false">Assumptions!A35</f>
        <v>Feb 2028</v>
      </c>
      <c r="B22" s="15" t="n">
        <f aca="false">Assumptions!B35*Assumptions!$B$5</f>
        <v>64000</v>
      </c>
      <c r="C22" s="15" t="n">
        <f aca="false">B22*Assumptions!$B$6</f>
        <v>192</v>
      </c>
      <c r="D22" s="15" t="n">
        <f aca="false">C22*Assumptions!$B$7</f>
        <v>28.8</v>
      </c>
      <c r="E22" s="17" t="n">
        <f aca="false">D22*(1-Assumptions!C35)*Assumptions!$B$8*Assumptions!D35</f>
        <v>0.3888</v>
      </c>
      <c r="F22" s="17" t="n">
        <f aca="false">D22*Assumptions!C35*Assumptions!$B$11*Assumptions!D35</f>
        <v>0.18144</v>
      </c>
      <c r="G22" s="18" t="n">
        <f aca="false">E22*Assumptions!$B$9*Assumptions!$B$10+F22*Assumptions!$B$12*Assumptions!$B$13</f>
        <v>0.60588</v>
      </c>
      <c r="H22" s="19" t="n">
        <f aca="false">G22-Assumptions!$B$14</f>
        <v>-22.39412</v>
      </c>
      <c r="I22" s="17" t="n">
        <f aca="false">SUM(E$6:E22)</f>
        <v>3.793176</v>
      </c>
      <c r="J22" s="15" t="n">
        <f aca="false">Assumptions!B35*Assumptions!$C$5</f>
        <v>160000</v>
      </c>
      <c r="K22" s="15" t="n">
        <f aca="false">J22*Assumptions!$C$6</f>
        <v>960</v>
      </c>
      <c r="L22" s="15" t="n">
        <f aca="false">K22*Assumptions!$C$7</f>
        <v>240</v>
      </c>
      <c r="M22" s="17" t="n">
        <f aca="false">L22*(1-Assumptions!C35)*Assumptions!$C$8*Assumptions!D35</f>
        <v>5.4</v>
      </c>
      <c r="N22" s="17" t="n">
        <f aca="false">L22*Assumptions!C35*Assumptions!$C$11*Assumptions!D35</f>
        <v>2.16</v>
      </c>
      <c r="O22" s="18" t="n">
        <f aca="false">M22*Assumptions!$C$9*Assumptions!$C$10+N22*Assumptions!$C$12*Assumptions!$C$13</f>
        <v>13.986</v>
      </c>
      <c r="P22" s="19" t="n">
        <f aca="false">O22-Assumptions!$C$14</f>
        <v>-9.014</v>
      </c>
      <c r="Q22" s="17" t="n">
        <f aca="false">SUM(M$6:M22)</f>
        <v>52.683</v>
      </c>
      <c r="R22" s="15" t="n">
        <f aca="false">Assumptions!B35*Assumptions!$D$5</f>
        <v>400000</v>
      </c>
      <c r="S22" s="15" t="n">
        <f aca="false">R22*Assumptions!$D$6</f>
        <v>4000</v>
      </c>
      <c r="T22" s="15" t="n">
        <f aca="false">S22*Assumptions!$D$7</f>
        <v>1400</v>
      </c>
      <c r="U22" s="17" t="n">
        <f aca="false">T22*(1-Assumptions!C35)*Assumptions!$D$8*Assumptions!D35</f>
        <v>50.4</v>
      </c>
      <c r="V22" s="17" t="n">
        <f aca="false">T22*Assumptions!C35*Assumptions!$D$11*Assumptions!D35</f>
        <v>18.9</v>
      </c>
      <c r="W22" s="18" t="n">
        <f aca="false">U22*Assumptions!$D$9*Assumptions!$D$10+V22*Assumptions!$D$12*Assumptions!$D$13</f>
        <v>218.295</v>
      </c>
      <c r="X22" s="19" t="n">
        <f aca="false">W22-Assumptions!$D$14</f>
        <v>195.295</v>
      </c>
      <c r="Y22" s="17" t="n">
        <f aca="false">SUM(U$6:U22)</f>
        <v>491.708</v>
      </c>
    </row>
    <row r="23" customFormat="false" ht="15" hidden="false" customHeight="false" outlineLevel="0" collapsed="false">
      <c r="A23" s="4" t="str">
        <f aca="false">Assumptions!A36</f>
        <v>Mar 2028</v>
      </c>
      <c r="B23" s="15" t="n">
        <f aca="false">Assumptions!B36*Assumptions!$B$5</f>
        <v>68000</v>
      </c>
      <c r="C23" s="15" t="n">
        <f aca="false">B23*Assumptions!$B$6</f>
        <v>204</v>
      </c>
      <c r="D23" s="15" t="n">
        <f aca="false">C23*Assumptions!$B$7</f>
        <v>30.6</v>
      </c>
      <c r="E23" s="17" t="n">
        <f aca="false">D23*(1-Assumptions!C36)*Assumptions!$B$8*Assumptions!D36</f>
        <v>0.459</v>
      </c>
      <c r="F23" s="17" t="n">
        <f aca="false">D23*Assumptions!C36*Assumptions!$B$11*Assumptions!D36</f>
        <v>0.2142</v>
      </c>
      <c r="G23" s="18" t="n">
        <f aca="false">E23*Assumptions!$B$9*Assumptions!$B$10+F23*Assumptions!$B$12*Assumptions!$B$13</f>
        <v>0.715275</v>
      </c>
      <c r="H23" s="19" t="n">
        <f aca="false">G23-Assumptions!$B$14</f>
        <v>-22.284725</v>
      </c>
      <c r="I23" s="17" t="n">
        <f aca="false">SUM(E$6:E23)</f>
        <v>4.252176</v>
      </c>
      <c r="J23" s="15" t="n">
        <f aca="false">Assumptions!B36*Assumptions!$C$5</f>
        <v>170000</v>
      </c>
      <c r="K23" s="15" t="n">
        <f aca="false">J23*Assumptions!$C$6</f>
        <v>1020</v>
      </c>
      <c r="L23" s="15" t="n">
        <f aca="false">K23*Assumptions!$C$7</f>
        <v>255</v>
      </c>
      <c r="M23" s="17" t="n">
        <f aca="false">L23*(1-Assumptions!C36)*Assumptions!$C$8*Assumptions!D36</f>
        <v>6.375</v>
      </c>
      <c r="N23" s="17" t="n">
        <f aca="false">L23*Assumptions!C36*Assumptions!$C$11*Assumptions!D36</f>
        <v>2.55</v>
      </c>
      <c r="O23" s="18" t="n">
        <f aca="false">M23*Assumptions!$C$9*Assumptions!$C$10+N23*Assumptions!$C$12*Assumptions!$C$13</f>
        <v>16.51125</v>
      </c>
      <c r="P23" s="19" t="n">
        <f aca="false">O23-Assumptions!$C$14</f>
        <v>-6.48875</v>
      </c>
      <c r="Q23" s="17" t="n">
        <f aca="false">SUM(M$6:M23)</f>
        <v>59.058</v>
      </c>
      <c r="R23" s="15" t="n">
        <f aca="false">Assumptions!B36*Assumptions!$D$5</f>
        <v>425000</v>
      </c>
      <c r="S23" s="15" t="n">
        <f aca="false">R23*Assumptions!$D$6</f>
        <v>4250</v>
      </c>
      <c r="T23" s="15" t="n">
        <f aca="false">S23*Assumptions!$D$7</f>
        <v>1487.5</v>
      </c>
      <c r="U23" s="17" t="n">
        <f aca="false">T23*(1-Assumptions!C36)*Assumptions!$D$8*Assumptions!D36</f>
        <v>59.5</v>
      </c>
      <c r="V23" s="17" t="n">
        <f aca="false">T23*Assumptions!C36*Assumptions!$D$11*Assumptions!D36</f>
        <v>22.3125</v>
      </c>
      <c r="W23" s="18" t="n">
        <f aca="false">U23*Assumptions!$D$9*Assumptions!$D$10+V23*Assumptions!$D$12*Assumptions!$D$13</f>
        <v>257.709375</v>
      </c>
      <c r="X23" s="19" t="n">
        <f aca="false">W23-Assumptions!$D$14</f>
        <v>234.709375</v>
      </c>
      <c r="Y23" s="17" t="n">
        <f aca="false">SUM(U$6:U23)</f>
        <v>551.208</v>
      </c>
    </row>
    <row r="24" customFormat="false" ht="15" hidden="false" customHeight="false" outlineLevel="0" collapsed="false">
      <c r="A24" s="4" t="str">
        <f aca="false">Assumptions!A37</f>
        <v>Apr 2028</v>
      </c>
      <c r="B24" s="15" t="n">
        <f aca="false">Assumptions!B37*Assumptions!$B$5</f>
        <v>72000</v>
      </c>
      <c r="C24" s="15" t="n">
        <f aca="false">B24*Assumptions!$B$6</f>
        <v>216</v>
      </c>
      <c r="D24" s="15" t="n">
        <f aca="false">C24*Assumptions!$B$7</f>
        <v>32.4</v>
      </c>
      <c r="E24" s="17" t="n">
        <f aca="false">D24*(1-Assumptions!C37)*Assumptions!$B$8*Assumptions!D37</f>
        <v>0.486</v>
      </c>
      <c r="F24" s="17" t="n">
        <f aca="false">D24*Assumptions!C37*Assumptions!$B$11*Assumptions!D37</f>
        <v>0.2268</v>
      </c>
      <c r="G24" s="18" t="n">
        <f aca="false">E24*Assumptions!$B$9*Assumptions!$B$10+F24*Assumptions!$B$12*Assumptions!$B$13</f>
        <v>0.75735</v>
      </c>
      <c r="H24" s="19" t="n">
        <f aca="false">G24-Assumptions!$B$14</f>
        <v>-22.24265</v>
      </c>
      <c r="I24" s="17" t="n">
        <f aca="false">SUM(E$6:E24)</f>
        <v>4.738176</v>
      </c>
      <c r="J24" s="15" t="n">
        <f aca="false">Assumptions!B37*Assumptions!$C$5</f>
        <v>180000</v>
      </c>
      <c r="K24" s="15" t="n">
        <f aca="false">J24*Assumptions!$C$6</f>
        <v>1080</v>
      </c>
      <c r="L24" s="15" t="n">
        <f aca="false">K24*Assumptions!$C$7</f>
        <v>270</v>
      </c>
      <c r="M24" s="17" t="n">
        <f aca="false">L24*(1-Assumptions!C37)*Assumptions!$C$8*Assumptions!D37</f>
        <v>6.75</v>
      </c>
      <c r="N24" s="17" t="n">
        <f aca="false">L24*Assumptions!C37*Assumptions!$C$11*Assumptions!D37</f>
        <v>2.7</v>
      </c>
      <c r="O24" s="18" t="n">
        <f aca="false">M24*Assumptions!$C$9*Assumptions!$C$10+N24*Assumptions!$C$12*Assumptions!$C$13</f>
        <v>17.4825</v>
      </c>
      <c r="P24" s="19" t="n">
        <f aca="false">O24-Assumptions!$C$14</f>
        <v>-5.5175</v>
      </c>
      <c r="Q24" s="17" t="n">
        <f aca="false">SUM(M$6:M24)</f>
        <v>65.808</v>
      </c>
      <c r="R24" s="15" t="n">
        <f aca="false">Assumptions!B37*Assumptions!$D$5</f>
        <v>450000</v>
      </c>
      <c r="S24" s="15" t="n">
        <f aca="false">R24*Assumptions!$D$6</f>
        <v>4500</v>
      </c>
      <c r="T24" s="15" t="n">
        <f aca="false">S24*Assumptions!$D$7</f>
        <v>1575</v>
      </c>
      <c r="U24" s="17" t="n">
        <f aca="false">T24*(1-Assumptions!C37)*Assumptions!$D$8*Assumptions!D37</f>
        <v>63</v>
      </c>
      <c r="V24" s="17" t="n">
        <f aca="false">T24*Assumptions!C37*Assumptions!$D$11*Assumptions!D37</f>
        <v>23.625</v>
      </c>
      <c r="W24" s="18" t="n">
        <f aca="false">U24*Assumptions!$D$9*Assumptions!$D$10+V24*Assumptions!$D$12*Assumptions!$D$13</f>
        <v>272.86875</v>
      </c>
      <c r="X24" s="19" t="n">
        <f aca="false">W24-Assumptions!$D$14</f>
        <v>249.86875</v>
      </c>
      <c r="Y24" s="17" t="n">
        <f aca="false">SUM(U$6:U24)</f>
        <v>614.208</v>
      </c>
    </row>
    <row r="25" customFormat="false" ht="15" hidden="false" customHeight="false" outlineLevel="0" collapsed="false">
      <c r="A25" s="4" t="str">
        <f aca="false">Assumptions!A38</f>
        <v>May 2028</v>
      </c>
      <c r="B25" s="15" t="n">
        <f aca="false">Assumptions!B38*Assumptions!$B$5</f>
        <v>76000</v>
      </c>
      <c r="C25" s="15" t="n">
        <f aca="false">B25*Assumptions!$B$6</f>
        <v>228</v>
      </c>
      <c r="D25" s="15" t="n">
        <f aca="false">C25*Assumptions!$B$7</f>
        <v>34.2</v>
      </c>
      <c r="E25" s="17" t="n">
        <f aca="false">D25*(1-Assumptions!C38)*Assumptions!$B$8*Assumptions!D38</f>
        <v>0.513</v>
      </c>
      <c r="F25" s="17" t="n">
        <f aca="false">D25*Assumptions!C38*Assumptions!$B$11*Assumptions!D38</f>
        <v>0.2394</v>
      </c>
      <c r="G25" s="18" t="n">
        <f aca="false">E25*Assumptions!$B$9*Assumptions!$B$10+F25*Assumptions!$B$12*Assumptions!$B$13</f>
        <v>0.799425</v>
      </c>
      <c r="H25" s="19" t="n">
        <f aca="false">G25-Assumptions!$B$14</f>
        <v>-22.200575</v>
      </c>
      <c r="I25" s="17" t="n">
        <f aca="false">SUM(E$6:E25)</f>
        <v>5.251176</v>
      </c>
      <c r="J25" s="15" t="n">
        <f aca="false">Assumptions!B38*Assumptions!$C$5</f>
        <v>190000</v>
      </c>
      <c r="K25" s="15" t="n">
        <f aca="false">J25*Assumptions!$C$6</f>
        <v>1140</v>
      </c>
      <c r="L25" s="15" t="n">
        <f aca="false">K25*Assumptions!$C$7</f>
        <v>285</v>
      </c>
      <c r="M25" s="17" t="n">
        <f aca="false">L25*(1-Assumptions!C38)*Assumptions!$C$8*Assumptions!D38</f>
        <v>7.125</v>
      </c>
      <c r="N25" s="17" t="n">
        <f aca="false">L25*Assumptions!C38*Assumptions!$C$11*Assumptions!D38</f>
        <v>2.85</v>
      </c>
      <c r="O25" s="18" t="n">
        <f aca="false">M25*Assumptions!$C$9*Assumptions!$C$10+N25*Assumptions!$C$12*Assumptions!$C$13</f>
        <v>18.45375</v>
      </c>
      <c r="P25" s="19" t="n">
        <f aca="false">O25-Assumptions!$C$14</f>
        <v>-4.54625</v>
      </c>
      <c r="Q25" s="17" t="n">
        <f aca="false">SUM(M$6:M25)</f>
        <v>72.933</v>
      </c>
      <c r="R25" s="15" t="n">
        <f aca="false">Assumptions!B38*Assumptions!$D$5</f>
        <v>475000</v>
      </c>
      <c r="S25" s="15" t="n">
        <f aca="false">R25*Assumptions!$D$6</f>
        <v>4750</v>
      </c>
      <c r="T25" s="15" t="n">
        <f aca="false">S25*Assumptions!$D$7</f>
        <v>1662.5</v>
      </c>
      <c r="U25" s="17" t="n">
        <f aca="false">T25*(1-Assumptions!C38)*Assumptions!$D$8*Assumptions!D38</f>
        <v>66.5</v>
      </c>
      <c r="V25" s="17" t="n">
        <f aca="false">T25*Assumptions!C38*Assumptions!$D$11*Assumptions!D38</f>
        <v>24.9375</v>
      </c>
      <c r="W25" s="18" t="n">
        <f aca="false">U25*Assumptions!$D$9*Assumptions!$D$10+V25*Assumptions!$D$12*Assumptions!$D$13</f>
        <v>288.028125</v>
      </c>
      <c r="X25" s="19" t="n">
        <f aca="false">W25-Assumptions!$D$14</f>
        <v>265.028125</v>
      </c>
      <c r="Y25" s="17" t="n">
        <f aca="false">SUM(U$6:U25)</f>
        <v>680.708</v>
      </c>
    </row>
    <row r="26" customFormat="false" ht="15" hidden="false" customHeight="false" outlineLevel="0" collapsed="false">
      <c r="A26" s="4" t="str">
        <f aca="false">Assumptions!A39</f>
        <v>Jun 2028</v>
      </c>
      <c r="B26" s="15" t="n">
        <f aca="false">Assumptions!B39*Assumptions!$B$5</f>
        <v>80000</v>
      </c>
      <c r="C26" s="15" t="n">
        <f aca="false">B26*Assumptions!$B$6</f>
        <v>240</v>
      </c>
      <c r="D26" s="15" t="n">
        <f aca="false">C26*Assumptions!$B$7</f>
        <v>36</v>
      </c>
      <c r="E26" s="17" t="n">
        <f aca="false">D26*(1-Assumptions!C39)*Assumptions!$B$8*Assumptions!D39</f>
        <v>0.54</v>
      </c>
      <c r="F26" s="17" t="n">
        <f aca="false">D26*Assumptions!C39*Assumptions!$B$11*Assumptions!D39</f>
        <v>0.252</v>
      </c>
      <c r="G26" s="18" t="n">
        <f aca="false">E26*Assumptions!$B$9*Assumptions!$B$10+F26*Assumptions!$B$12*Assumptions!$B$13</f>
        <v>0.8415</v>
      </c>
      <c r="H26" s="19" t="n">
        <f aca="false">G26-Assumptions!$B$14</f>
        <v>-22.1585</v>
      </c>
      <c r="I26" s="17" t="n">
        <f aca="false">SUM(E$6:E26)</f>
        <v>5.791176</v>
      </c>
      <c r="J26" s="15" t="n">
        <f aca="false">Assumptions!B39*Assumptions!$C$5</f>
        <v>200000</v>
      </c>
      <c r="K26" s="15" t="n">
        <f aca="false">J26*Assumptions!$C$6</f>
        <v>1200</v>
      </c>
      <c r="L26" s="15" t="n">
        <f aca="false">K26*Assumptions!$C$7</f>
        <v>300</v>
      </c>
      <c r="M26" s="17" t="n">
        <f aca="false">L26*(1-Assumptions!C39)*Assumptions!$C$8*Assumptions!D39</f>
        <v>7.5</v>
      </c>
      <c r="N26" s="17" t="n">
        <f aca="false">L26*Assumptions!C39*Assumptions!$C$11*Assumptions!D39</f>
        <v>3</v>
      </c>
      <c r="O26" s="18" t="n">
        <f aca="false">M26*Assumptions!$C$9*Assumptions!$C$10+N26*Assumptions!$C$12*Assumptions!$C$13</f>
        <v>19.425</v>
      </c>
      <c r="P26" s="19" t="n">
        <f aca="false">O26-Assumptions!$C$14</f>
        <v>-3.575</v>
      </c>
      <c r="Q26" s="17" t="n">
        <f aca="false">SUM(M$6:M26)</f>
        <v>80.433</v>
      </c>
      <c r="R26" s="15" t="n">
        <f aca="false">Assumptions!B39*Assumptions!$D$5</f>
        <v>500000</v>
      </c>
      <c r="S26" s="15" t="n">
        <f aca="false">R26*Assumptions!$D$6</f>
        <v>5000</v>
      </c>
      <c r="T26" s="15" t="n">
        <f aca="false">S26*Assumptions!$D$7</f>
        <v>1750</v>
      </c>
      <c r="U26" s="17" t="n">
        <f aca="false">T26*(1-Assumptions!C39)*Assumptions!$D$8*Assumptions!D39</f>
        <v>70</v>
      </c>
      <c r="V26" s="17" t="n">
        <f aca="false">T26*Assumptions!C39*Assumptions!$D$11*Assumptions!D39</f>
        <v>26.25</v>
      </c>
      <c r="W26" s="18" t="n">
        <f aca="false">U26*Assumptions!$D$9*Assumptions!$D$10+V26*Assumptions!$D$12*Assumptions!$D$13</f>
        <v>303.1875</v>
      </c>
      <c r="X26" s="19" t="n">
        <f aca="false">W26-Assumptions!$D$14</f>
        <v>280.1875</v>
      </c>
      <c r="Y26" s="17" t="n">
        <f aca="false">SUM(U$6:U26)</f>
        <v>750.708</v>
      </c>
    </row>
    <row r="27" customFormat="false" ht="15" hidden="false" customHeight="false" outlineLevel="0" collapsed="false">
      <c r="A27" s="4" t="str">
        <f aca="false">Assumptions!A40</f>
        <v>Jul 2028</v>
      </c>
      <c r="B27" s="15" t="n">
        <f aca="false">Assumptions!B40*Assumptions!$B$5</f>
        <v>84000</v>
      </c>
      <c r="C27" s="15" t="n">
        <f aca="false">B27*Assumptions!$B$6</f>
        <v>252</v>
      </c>
      <c r="D27" s="15" t="n">
        <f aca="false">C27*Assumptions!$B$7</f>
        <v>37.8</v>
      </c>
      <c r="E27" s="17" t="n">
        <f aca="false">D27*(1-Assumptions!C40)*Assumptions!$B$8*Assumptions!D40</f>
        <v>0.567</v>
      </c>
      <c r="F27" s="17" t="n">
        <f aca="false">D27*Assumptions!C40*Assumptions!$B$11*Assumptions!D40</f>
        <v>0.2646</v>
      </c>
      <c r="G27" s="18" t="n">
        <f aca="false">E27*Assumptions!$B$9*Assumptions!$B$10+F27*Assumptions!$B$12*Assumptions!$B$13</f>
        <v>0.883575</v>
      </c>
      <c r="H27" s="19" t="n">
        <f aca="false">G27-Assumptions!$B$14</f>
        <v>-22.116425</v>
      </c>
      <c r="I27" s="17" t="n">
        <f aca="false">SUM(E$6:E27)</f>
        <v>6.358176</v>
      </c>
      <c r="J27" s="15" t="n">
        <f aca="false">Assumptions!B40*Assumptions!$C$5</f>
        <v>210000</v>
      </c>
      <c r="K27" s="15" t="n">
        <f aca="false">J27*Assumptions!$C$6</f>
        <v>1260</v>
      </c>
      <c r="L27" s="15" t="n">
        <f aca="false">K27*Assumptions!$C$7</f>
        <v>315</v>
      </c>
      <c r="M27" s="17" t="n">
        <f aca="false">L27*(1-Assumptions!C40)*Assumptions!$C$8*Assumptions!D40</f>
        <v>7.875</v>
      </c>
      <c r="N27" s="17" t="n">
        <f aca="false">L27*Assumptions!C40*Assumptions!$C$11*Assumptions!D40</f>
        <v>3.15</v>
      </c>
      <c r="O27" s="18" t="n">
        <f aca="false">M27*Assumptions!$C$9*Assumptions!$C$10+N27*Assumptions!$C$12*Assumptions!$C$13</f>
        <v>20.39625</v>
      </c>
      <c r="P27" s="19" t="n">
        <f aca="false">O27-Assumptions!$C$14</f>
        <v>-2.60375</v>
      </c>
      <c r="Q27" s="17" t="n">
        <f aca="false">SUM(M$6:M27)</f>
        <v>88.308</v>
      </c>
      <c r="R27" s="15" t="n">
        <f aca="false">Assumptions!B40*Assumptions!$D$5</f>
        <v>525000</v>
      </c>
      <c r="S27" s="15" t="n">
        <f aca="false">R27*Assumptions!$D$6</f>
        <v>5250</v>
      </c>
      <c r="T27" s="15" t="n">
        <f aca="false">S27*Assumptions!$D$7</f>
        <v>1837.5</v>
      </c>
      <c r="U27" s="17" t="n">
        <f aca="false">T27*(1-Assumptions!C40)*Assumptions!$D$8*Assumptions!D40</f>
        <v>73.5</v>
      </c>
      <c r="V27" s="17" t="n">
        <f aca="false">T27*Assumptions!C40*Assumptions!$D$11*Assumptions!D40</f>
        <v>27.5625</v>
      </c>
      <c r="W27" s="18" t="n">
        <f aca="false">U27*Assumptions!$D$9*Assumptions!$D$10+V27*Assumptions!$D$12*Assumptions!$D$13</f>
        <v>318.346875</v>
      </c>
      <c r="X27" s="19" t="n">
        <f aca="false">W27-Assumptions!$D$14</f>
        <v>295.346875</v>
      </c>
      <c r="Y27" s="17" t="n">
        <f aca="false">SUM(U$6:U27)</f>
        <v>824.208</v>
      </c>
    </row>
    <row r="28" customFormat="false" ht="15" hidden="false" customHeight="false" outlineLevel="0" collapsed="false">
      <c r="A28" s="4" t="str">
        <f aca="false">Assumptions!A41</f>
        <v>Aug 2028</v>
      </c>
      <c r="B28" s="15" t="n">
        <f aca="false">Assumptions!B41*Assumptions!$B$5</f>
        <v>88000</v>
      </c>
      <c r="C28" s="15" t="n">
        <f aca="false">B28*Assumptions!$B$6</f>
        <v>264</v>
      </c>
      <c r="D28" s="15" t="n">
        <f aca="false">C28*Assumptions!$B$7</f>
        <v>39.6</v>
      </c>
      <c r="E28" s="17" t="n">
        <f aca="false">D28*(1-Assumptions!C41)*Assumptions!$B$8*Assumptions!D41</f>
        <v>0.594</v>
      </c>
      <c r="F28" s="17" t="n">
        <f aca="false">D28*Assumptions!C41*Assumptions!$B$11*Assumptions!D41</f>
        <v>0.2772</v>
      </c>
      <c r="G28" s="18" t="n">
        <f aca="false">E28*Assumptions!$B$9*Assumptions!$B$10+F28*Assumptions!$B$12*Assumptions!$B$13</f>
        <v>0.92565</v>
      </c>
      <c r="H28" s="19" t="n">
        <f aca="false">G28-Assumptions!$B$14</f>
        <v>-22.07435</v>
      </c>
      <c r="I28" s="17" t="n">
        <f aca="false">SUM(E$6:E28)</f>
        <v>6.952176</v>
      </c>
      <c r="J28" s="15" t="n">
        <f aca="false">Assumptions!B41*Assumptions!$C$5</f>
        <v>220000</v>
      </c>
      <c r="K28" s="15" t="n">
        <f aca="false">J28*Assumptions!$C$6</f>
        <v>1320</v>
      </c>
      <c r="L28" s="15" t="n">
        <f aca="false">K28*Assumptions!$C$7</f>
        <v>330</v>
      </c>
      <c r="M28" s="17" t="n">
        <f aca="false">L28*(1-Assumptions!C41)*Assumptions!$C$8*Assumptions!D41</f>
        <v>8.25</v>
      </c>
      <c r="N28" s="17" t="n">
        <f aca="false">L28*Assumptions!C41*Assumptions!$C$11*Assumptions!D41</f>
        <v>3.3</v>
      </c>
      <c r="O28" s="18" t="n">
        <f aca="false">M28*Assumptions!$C$9*Assumptions!$C$10+N28*Assumptions!$C$12*Assumptions!$C$13</f>
        <v>21.3675</v>
      </c>
      <c r="P28" s="19" t="n">
        <f aca="false">O28-Assumptions!$C$14</f>
        <v>-1.6325</v>
      </c>
      <c r="Q28" s="17" t="n">
        <f aca="false">SUM(M$6:M28)</f>
        <v>96.558</v>
      </c>
      <c r="R28" s="15" t="n">
        <f aca="false">Assumptions!B41*Assumptions!$D$5</f>
        <v>550000</v>
      </c>
      <c r="S28" s="15" t="n">
        <f aca="false">R28*Assumptions!$D$6</f>
        <v>5500</v>
      </c>
      <c r="T28" s="15" t="n">
        <f aca="false">S28*Assumptions!$D$7</f>
        <v>1925</v>
      </c>
      <c r="U28" s="17" t="n">
        <f aca="false">T28*(1-Assumptions!C41)*Assumptions!$D$8*Assumptions!D41</f>
        <v>77</v>
      </c>
      <c r="V28" s="17" t="n">
        <f aca="false">T28*Assumptions!C41*Assumptions!$D$11*Assumptions!D41</f>
        <v>28.875</v>
      </c>
      <c r="W28" s="18" t="n">
        <f aca="false">U28*Assumptions!$D$9*Assumptions!$D$10+V28*Assumptions!$D$12*Assumptions!$D$13</f>
        <v>333.50625</v>
      </c>
      <c r="X28" s="19" t="n">
        <f aca="false">W28-Assumptions!$D$14</f>
        <v>310.50625</v>
      </c>
      <c r="Y28" s="17" t="n">
        <f aca="false">SUM(U$6:U28)</f>
        <v>901.208</v>
      </c>
    </row>
    <row r="29" customFormat="false" ht="15" hidden="false" customHeight="false" outlineLevel="0" collapsed="false">
      <c r="A29" s="4" t="str">
        <f aca="false">Assumptions!A42</f>
        <v>Sep 2028</v>
      </c>
      <c r="B29" s="15" t="n">
        <f aca="false">Assumptions!B42*Assumptions!$B$5</f>
        <v>92000</v>
      </c>
      <c r="C29" s="15" t="n">
        <f aca="false">B29*Assumptions!$B$6</f>
        <v>276</v>
      </c>
      <c r="D29" s="15" t="n">
        <f aca="false">C29*Assumptions!$B$7</f>
        <v>41.4</v>
      </c>
      <c r="E29" s="17" t="n">
        <f aca="false">D29*(1-Assumptions!C42)*Assumptions!$B$8*Assumptions!D42</f>
        <v>0.621</v>
      </c>
      <c r="F29" s="17" t="n">
        <f aca="false">D29*Assumptions!C42*Assumptions!$B$11*Assumptions!D42</f>
        <v>0.2898</v>
      </c>
      <c r="G29" s="18" t="n">
        <f aca="false">E29*Assumptions!$B$9*Assumptions!$B$10+F29*Assumptions!$B$12*Assumptions!$B$13</f>
        <v>0.967725</v>
      </c>
      <c r="H29" s="19" t="n">
        <f aca="false">G29-Assumptions!$B$14</f>
        <v>-22.032275</v>
      </c>
      <c r="I29" s="17" t="n">
        <f aca="false">SUM(E$6:E29)</f>
        <v>7.573176</v>
      </c>
      <c r="J29" s="15" t="n">
        <f aca="false">Assumptions!B42*Assumptions!$C$5</f>
        <v>230000</v>
      </c>
      <c r="K29" s="15" t="n">
        <f aca="false">J29*Assumptions!$C$6</f>
        <v>1380</v>
      </c>
      <c r="L29" s="15" t="n">
        <f aca="false">K29*Assumptions!$C$7</f>
        <v>345</v>
      </c>
      <c r="M29" s="17" t="n">
        <f aca="false">L29*(1-Assumptions!C42)*Assumptions!$C$8*Assumptions!D42</f>
        <v>8.625</v>
      </c>
      <c r="N29" s="17" t="n">
        <f aca="false">L29*Assumptions!C42*Assumptions!$C$11*Assumptions!D42</f>
        <v>3.45</v>
      </c>
      <c r="O29" s="18" t="n">
        <f aca="false">M29*Assumptions!$C$9*Assumptions!$C$10+N29*Assumptions!$C$12*Assumptions!$C$13</f>
        <v>22.33875</v>
      </c>
      <c r="P29" s="19" t="n">
        <f aca="false">O29-Assumptions!$C$14</f>
        <v>-0.661249999999999</v>
      </c>
      <c r="Q29" s="17" t="n">
        <f aca="false">SUM(M$6:M29)</f>
        <v>105.183</v>
      </c>
      <c r="R29" s="15" t="n">
        <f aca="false">Assumptions!B42*Assumptions!$D$5</f>
        <v>575000</v>
      </c>
      <c r="S29" s="15" t="n">
        <f aca="false">R29*Assumptions!$D$6</f>
        <v>5750</v>
      </c>
      <c r="T29" s="15" t="n">
        <f aca="false">S29*Assumptions!$D$7</f>
        <v>2012.5</v>
      </c>
      <c r="U29" s="17" t="n">
        <f aca="false">T29*(1-Assumptions!C42)*Assumptions!$D$8*Assumptions!D42</f>
        <v>80.5</v>
      </c>
      <c r="V29" s="17" t="n">
        <f aca="false">T29*Assumptions!C42*Assumptions!$D$11*Assumptions!D42</f>
        <v>30.1875</v>
      </c>
      <c r="W29" s="18" t="n">
        <f aca="false">U29*Assumptions!$D$9*Assumptions!$D$10+V29*Assumptions!$D$12*Assumptions!$D$13</f>
        <v>348.665625</v>
      </c>
      <c r="X29" s="19" t="n">
        <f aca="false">W29-Assumptions!$D$14</f>
        <v>325.665625</v>
      </c>
      <c r="Y29" s="17" t="n">
        <f aca="false">SUM(U$6:U29)</f>
        <v>981.708</v>
      </c>
    </row>
    <row r="31" customFormat="false" ht="15" hidden="false" customHeight="false" outlineLevel="0" collapsed="false">
      <c r="A31" s="20" t="s">
        <v>82</v>
      </c>
      <c r="B31" s="21" t="n">
        <f aca="false">SUM(B6:B17)</f>
        <v>268000</v>
      </c>
      <c r="C31" s="21" t="n">
        <f aca="false">SUM(C6:C17)</f>
        <v>804</v>
      </c>
      <c r="D31" s="21" t="n">
        <f aca="false">SUM(D6:D17)</f>
        <v>120.6</v>
      </c>
      <c r="E31" s="22" t="n">
        <f aca="false">SUM(E6:E17)</f>
        <v>1.838376</v>
      </c>
      <c r="F31" s="22" t="n">
        <f aca="false">SUM(F6:F17)</f>
        <v>0.8395632</v>
      </c>
      <c r="G31" s="23" t="n">
        <f aca="false">SUM(G6:G17)</f>
        <v>2.8281114</v>
      </c>
      <c r="H31" s="24" t="n">
        <f aca="false">SUM(H6:H17)</f>
        <v>-273.1718886</v>
      </c>
      <c r="J31" s="21" t="n">
        <f aca="false">SUM(J6:J17)</f>
        <v>670000</v>
      </c>
      <c r="K31" s="21" t="n">
        <f aca="false">SUM(K6:K17)</f>
        <v>4020</v>
      </c>
      <c r="L31" s="21" t="n">
        <f aca="false">SUM(L6:L17)</f>
        <v>1005</v>
      </c>
      <c r="M31" s="22" t="n">
        <f aca="false">SUM(M6:M17)</f>
        <v>25.533</v>
      </c>
      <c r="N31" s="22" t="n">
        <f aca="false">SUM(N6:N17)</f>
        <v>9.9948</v>
      </c>
      <c r="O31" s="23" t="n">
        <f aca="false">SUM(O6:O17)</f>
        <v>65.28963</v>
      </c>
      <c r="P31" s="24" t="n">
        <f aca="false">SUM(P6:P17)</f>
        <v>-210.71037</v>
      </c>
      <c r="R31" s="21" t="n">
        <f aca="false">SUM(R6:R17)</f>
        <v>1675000</v>
      </c>
      <c r="S31" s="21" t="n">
        <f aca="false">SUM(S6:S17)</f>
        <v>16750</v>
      </c>
      <c r="T31" s="21" t="n">
        <f aca="false">SUM(T6:T17)</f>
        <v>5862.5</v>
      </c>
      <c r="U31" s="22" t="n">
        <f aca="false">SUM(U6:U17)</f>
        <v>238.308</v>
      </c>
      <c r="V31" s="22" t="n">
        <f aca="false">SUM(V6:V17)</f>
        <v>87.4545</v>
      </c>
      <c r="W31" s="23" t="n">
        <f aca="false">SUM(W6:W17)</f>
        <v>1019.272275</v>
      </c>
      <c r="X31" s="24" t="n">
        <f aca="false">SUM(X6:X17)</f>
        <v>743.272275</v>
      </c>
    </row>
    <row r="32" customFormat="false" ht="15" hidden="false" customHeight="false" outlineLevel="0" collapsed="false">
      <c r="A32" s="20" t="s">
        <v>83</v>
      </c>
      <c r="B32" s="21" t="n">
        <f aca="false">SUM(B18:B29)</f>
        <v>840000</v>
      </c>
      <c r="C32" s="21" t="n">
        <f aca="false">SUM(C18:C29)</f>
        <v>2520</v>
      </c>
      <c r="D32" s="21" t="n">
        <f aca="false">SUM(D18:D29)</f>
        <v>378</v>
      </c>
      <c r="E32" s="22" t="n">
        <f aca="false">SUM(E18:E29)</f>
        <v>5.7348</v>
      </c>
      <c r="F32" s="22" t="n">
        <f aca="false">SUM(F18:F29)</f>
        <v>2.67624</v>
      </c>
      <c r="G32" s="23" t="n">
        <f aca="false">SUM(G18:G29)</f>
        <v>8.93673</v>
      </c>
      <c r="H32" s="24" t="n">
        <f aca="false">SUM(H18:H29)</f>
        <v>-267.06327</v>
      </c>
      <c r="J32" s="21" t="n">
        <f aca="false">SUM(J18:J29)</f>
        <v>2100000</v>
      </c>
      <c r="K32" s="21" t="n">
        <f aca="false">SUM(K18:K29)</f>
        <v>12600</v>
      </c>
      <c r="L32" s="21" t="n">
        <f aca="false">SUM(L18:L29)</f>
        <v>3150</v>
      </c>
      <c r="M32" s="22" t="n">
        <f aca="false">SUM(M18:M29)</f>
        <v>79.65</v>
      </c>
      <c r="N32" s="22" t="n">
        <f aca="false">SUM(N18:N29)</f>
        <v>31.86</v>
      </c>
      <c r="O32" s="23" t="n">
        <f aca="false">SUM(O18:O29)</f>
        <v>206.2935</v>
      </c>
      <c r="P32" s="24" t="n">
        <f aca="false">SUM(P18:P29)</f>
        <v>-69.7065</v>
      </c>
      <c r="R32" s="21" t="n">
        <f aca="false">SUM(R18:R29)</f>
        <v>5250000</v>
      </c>
      <c r="S32" s="21" t="n">
        <f aca="false">SUM(S18:S29)</f>
        <v>52500</v>
      </c>
      <c r="T32" s="21" t="n">
        <f aca="false">SUM(T18:T29)</f>
        <v>18375</v>
      </c>
      <c r="U32" s="22" t="n">
        <f aca="false">SUM(U18:U29)</f>
        <v>743.4</v>
      </c>
      <c r="V32" s="22" t="n">
        <f aca="false">SUM(V18:V29)</f>
        <v>278.775</v>
      </c>
      <c r="W32" s="23" t="n">
        <f aca="false">SUM(W18:W29)</f>
        <v>3219.85125</v>
      </c>
      <c r="X32" s="24" t="n">
        <f aca="false">SUM(X18:X29)</f>
        <v>2943.85125</v>
      </c>
    </row>
    <row r="33" customFormat="false" ht="15" hidden="false" customHeight="false" outlineLevel="0" collapsed="false">
      <c r="A33" s="20" t="s">
        <v>84</v>
      </c>
      <c r="B33" s="21" t="n">
        <f aca="false">SUM(B6:B29)</f>
        <v>1108000</v>
      </c>
      <c r="C33" s="21" t="n">
        <f aca="false">SUM(C6:C29)</f>
        <v>3324</v>
      </c>
      <c r="D33" s="21" t="n">
        <f aca="false">SUM(D6:D29)</f>
        <v>498.6</v>
      </c>
      <c r="E33" s="22" t="n">
        <f aca="false">SUM(E6:E29)</f>
        <v>7.573176</v>
      </c>
      <c r="F33" s="22" t="n">
        <f aca="false">SUM(F6:F29)</f>
        <v>3.5158032</v>
      </c>
      <c r="G33" s="23" t="n">
        <f aca="false">SUM(G6:G29)</f>
        <v>11.7648414</v>
      </c>
      <c r="H33" s="24" t="n">
        <f aca="false">SUM(H6:H29)</f>
        <v>-540.2351586</v>
      </c>
      <c r="J33" s="21" t="n">
        <f aca="false">SUM(J6:J29)</f>
        <v>2770000</v>
      </c>
      <c r="K33" s="21" t="n">
        <f aca="false">SUM(K6:K29)</f>
        <v>16620</v>
      </c>
      <c r="L33" s="21" t="n">
        <f aca="false">SUM(L6:L29)</f>
        <v>4155</v>
      </c>
      <c r="M33" s="22" t="n">
        <f aca="false">SUM(M6:M29)</f>
        <v>105.183</v>
      </c>
      <c r="N33" s="22" t="n">
        <f aca="false">SUM(N6:N29)</f>
        <v>41.8548</v>
      </c>
      <c r="O33" s="23" t="n">
        <f aca="false">SUM(O6:O29)</f>
        <v>271.58313</v>
      </c>
      <c r="P33" s="24" t="n">
        <f aca="false">SUM(P6:P29)</f>
        <v>-280.41687</v>
      </c>
      <c r="R33" s="21" t="n">
        <f aca="false">SUM(R6:R29)</f>
        <v>6925000</v>
      </c>
      <c r="S33" s="21" t="n">
        <f aca="false">SUM(S6:S29)</f>
        <v>69250</v>
      </c>
      <c r="T33" s="21" t="n">
        <f aca="false">SUM(T6:T29)</f>
        <v>24237.5</v>
      </c>
      <c r="U33" s="22" t="n">
        <f aca="false">SUM(U6:U29)</f>
        <v>981.708</v>
      </c>
      <c r="V33" s="22" t="n">
        <f aca="false">SUM(V6:V29)</f>
        <v>366.2295</v>
      </c>
      <c r="W33" s="23" t="n">
        <f aca="false">SUM(W6:W29)</f>
        <v>4239.123525</v>
      </c>
      <c r="X33" s="24" t="n">
        <f aca="false">SUM(X6:X29)</f>
        <v>3687.123525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2026-10-12T12:00:42Z</dcterms:created>
  <dc:creator>openpyxl</dc:creator>
  <dc:description/>
  <dc:language>en-US</dc:language>
  <cp:lastModifiedBy/>
  <dcterms:modified xsi:type="dcterms:W3CDTF">2026-10-12T13:00:44Z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