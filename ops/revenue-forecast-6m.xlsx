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oreca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<sst xmlns="http://schemas.openxmlformats.org/spreadsheetml/2006/main" count="99" uniqueCount="68">
  <si>
    <t xml:space="preserve">Revenue forecast – assumptions</t>
  </si>
  <si>
    <t xml:space="preserve">Blue = editable inputs. All are estimates, not verified benchmarks, unless the note cites a source. Change them and the Forecast tab updates.</t>
  </si>
  <si>
    <t xml:space="preserve">Driver</t>
  </si>
  <si>
    <t xml:space="preserve">Low</t>
  </si>
  <si>
    <t xml:space="preserve">Base</t>
  </si>
  <si>
    <t xml:space="preserve">High</t>
  </si>
  <si>
    <t xml:space="preserve">Note / source</t>
  </si>
  <si>
    <t xml:space="preserve">Impressions multiplier vs base path</t>
  </si>
  <si>
    <t xml:space="preserve">Scales the monthly impressions path below. Estimate – first pins showed 6–8 views each after ~2 days (Pinterest, 12 Oct 2026).</t>
  </si>
  <si>
    <t xml:space="preserve">Outbound click rate (impressions → site visits)</t>
  </si>
  <si>
    <t xml:space="preserve">Estimate – no verified Pinterest benchmark used.</t>
  </si>
  <si>
    <t xml:space="preserve">Site visit → affiliate link click</t>
  </si>
  <si>
    <t xml:space="preserve">Estimate.</t>
  </si>
  <si>
    <t xml:space="preserve">Amazon conversion (click → order)</t>
  </si>
  <si>
    <t xml:space="preserve">Estimate – Amazon's own conversion not published to us.</t>
  </si>
  <si>
    <t xml:space="preserve">Amazon average basket (£)</t>
  </si>
  <si>
    <t xml:space="preserve">Estimate – mix of cheap renter items and occasional bigger buys.</t>
  </si>
  <si>
    <t xml:space="preserve">Amazon commission rate</t>
  </si>
  <si>
    <t xml:space="preserve">Estimate – check Amazon UK Associates fee schedule for home/kitchen rates.</t>
  </si>
  <si>
    <t xml:space="preserve">Awin conversion (click → order)</t>
  </si>
  <si>
    <t xml:space="preserve">Awin directory conversion rates seen 12 Oct 2026: Meaco 1.44%, Ebac 1.51%, AO 2.02%, Currys 2.99%.</t>
  </si>
  <si>
    <t xml:space="preserve">Awin average order (£)</t>
  </si>
  <si>
    <t xml:space="preserve">Estimate – airers £55–£160, dehumidifiers £140–£350 (Which?, Oct 2026).</t>
  </si>
  <si>
    <t xml:space="preserve">Awin commission rate (blended)</t>
  </si>
  <si>
    <t xml:space="preserve">From retailer terms: Ebac 5%, Meaco 4%, Beldray 5%, Lakeland 2.5%, The Range 2%.</t>
  </si>
  <si>
    <t xml:space="preserve">Tailwind cost (£/month)</t>
  </si>
  <si>
    <t xml:space="preserve">$29.99/month plan; £ figure approximate – check your statement.</t>
  </si>
  <si>
    <t xml:space="preserve">Monthly path (base case)</t>
  </si>
  <si>
    <t xml:space="preserve">Month</t>
  </si>
  <si>
    <t xml:space="preserve">Base impressions</t>
  </si>
  <si>
    <t xml:space="preserve">Share of clicks to Awin retailers</t>
  </si>
  <si>
    <t xml:space="preserve">Seasonality (conversion)</t>
  </si>
  <si>
    <t xml:space="preserve">Note</t>
  </si>
  <si>
    <t xml:space="preserve">Oct 2026</t>
  </si>
  <si>
    <t xml:space="preserve">Part month; 19 photo pins live from 12 Oct</t>
  </si>
  <si>
    <t xml:space="preserve">Nov 2026</t>
  </si>
  <si>
    <t xml:space="preserve">First Awin approvals assumed mid-month</t>
  </si>
  <si>
    <t xml:space="preserve">Dec 2026</t>
  </si>
  <si>
    <t xml:space="preserve">Christmas gifting peak</t>
  </si>
  <si>
    <t xml:space="preserve">Jan 2027</t>
  </si>
  <si>
    <t xml:space="preserve">Post-Christmas dip; winter warmth/damp guides strong</t>
  </si>
  <si>
    <t xml:space="preserve">Feb 2027</t>
  </si>
  <si>
    <t xml:space="preserve">Mar 2027</t>
  </si>
  <si>
    <t xml:space="preserve">~150 pins/month cumulative</t>
  </si>
  <si>
    <t xml:space="preserve">Six-month revenue forecast (commission earned, before payout delays)</t>
  </si>
  <si>
    <t xml:space="preserve">Earned ≠ received: Amazon and Awin pay weeks to months later (Awin average payment times 57–144 days for our retailers).</t>
  </si>
  <si>
    <t xml:space="preserve">Low case</t>
  </si>
  <si>
    <t xml:space="preserve">Total</t>
  </si>
  <si>
    <t xml:space="preserve">Pin impressions</t>
  </si>
  <si>
    <t xml:space="preserve">Site visits</t>
  </si>
  <si>
    <t xml:space="preserve">Affiliate clicks</t>
  </si>
  <si>
    <t xml:space="preserve">Amazon clicks</t>
  </si>
  <si>
    <t xml:space="preserve">Amazon orders</t>
  </si>
  <si>
    <t xml:space="preserve">Amazon commission (£)</t>
  </si>
  <si>
    <t xml:space="preserve">Awin clicks</t>
  </si>
  <si>
    <t xml:space="preserve">Awin orders</t>
  </si>
  <si>
    <t xml:space="preserve">Awin commission (£)</t>
  </si>
  <si>
    <t xml:space="preserve">Total commission (£)</t>
  </si>
  <si>
    <t xml:space="preserve">Tailwind cost (£)</t>
  </si>
  <si>
    <t xml:space="preserve">Net (£)</t>
  </si>
  <si>
    <t xml:space="preserve">Cumulative Amazon orders</t>
  </si>
  <si>
    <t xml:space="preserve">Base case</t>
  </si>
  <si>
    <t xml:space="preserve">High case</t>
  </si>
  <si>
    <t xml:space="preserve">Summary</t>
  </si>
  <si>
    <t xml:space="preserve">Scenario</t>
  </si>
  <si>
    <t xml:space="preserve">6-month commission (£)</t>
  </si>
  <si>
    <t xml:space="preserve">March 2027 commission (£)</t>
  </si>
  <si>
    <t xml:space="preserve">6-month net after Tailwind (£)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</si>
</sst>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0%"/>
    <numFmt numFmtId="168" formatCode="0.00"/>
    <numFmt numFmtId="169" formatCode="0.0"/>
    <numFmt numFmtId="170" formatCode="\£#,##0.00;&quot;-£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5F45"/>
        <bgColor rgb="FF6666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5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commission by scenario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Forecast!$B$4:$G$4</c:f>
              <c:multiLvlStrCache>
                <c:ptCount val="1"/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</c:multiLvlStrCache>
            </c:multiLvlStrRef>
          </c:cat>
          <c:val>
            <c:numRef>
              <c:f>Forecast!$B$14:$G$14</c:f>
              <c:numCache>
                <c:formatCode>\£#,##0.00;"-£"#,##0.00</c:formatCode>
                <c:ptCount val="6"/>
                <c:pt idx="0">
                  <c:v>0.00675</c:v>
                </c:pt>
                <c:pt idx="1">
                  <c:v>0.0511434</c:v>
                </c:pt>
                <c:pt idx="2">
                  <c:v>0.1640925</c:v>
                </c:pt>
                <c:pt idx="3">
                  <c:v>0.106029</c:v>
                </c:pt>
                <c:pt idx="4">
                  <c:v>0.1438965</c:v>
                </c:pt>
                <c:pt idx="5">
                  <c:v>0.210375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Forecast!$B$4:$G$4</c:f>
              <c:multiLvlStrCache>
                <c:ptCount val="1"/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</c:multiLvlStrCache>
            </c:multiLvlStrRef>
          </c:cat>
          <c:val>
            <c:numRef>
              <c:f>Forecast!$B$30:$G$30</c:f>
              <c:numCache>
                <c:formatCode>\£#,##0.00;"-£"#,##0.00</c:formatCode>
                <c:ptCount val="6"/>
                <c:pt idx="0">
                  <c:v>0.1575</c:v>
                </c:pt>
                <c:pt idx="1">
                  <c:v>1.18503</c:v>
                </c:pt>
                <c:pt idx="2">
                  <c:v>3.787875</c:v>
                </c:pt>
                <c:pt idx="3">
                  <c:v>2.44755</c:v>
                </c:pt>
                <c:pt idx="4">
                  <c:v>3.321675</c:v>
                </c:pt>
                <c:pt idx="5">
                  <c:v>4.85625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"High"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Forecast!$B$4:$G$4</c:f>
              <c:multiLvlStrCache>
                <c:ptCount val="1"/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</c:multiLvlStrCache>
            </c:multiLvlStrRef>
          </c:cat>
          <c:val>
            <c:numRef>
              <c:f>Forecast!$B$46:$G$46</c:f>
              <c:numCache>
                <c:formatCode>\£#,##0.00;"-£"#,##0.00</c:formatCode>
                <c:ptCount val="6"/>
                <c:pt idx="0">
                  <c:v>2.52</c:v>
                </c:pt>
                <c:pt idx="1">
                  <c:v>18.659025</c:v>
                </c:pt>
                <c:pt idx="2">
                  <c:v>59.1215625</c:v>
                </c:pt>
                <c:pt idx="3">
                  <c:v>38.201625</c:v>
                </c:pt>
                <c:pt idx="4">
                  <c:v>51.8450625</c:v>
                </c:pt>
                <c:pt idx="5">
                  <c:v>75.796875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139651"/>
        <c:axId val="40154451"/>
      </c:lineChart>
      <c:catAx>
        <c:axId val="91139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54451"/>
        <c:crosses val="autoZero"/>
        <c:auto val="1"/>
        <c:lblAlgn val="ctr"/>
        <c:lblOffset val="100"/>
        <c:noMultiLvlLbl val="0"/>
      </c:catAx>
      <c:valAx>
        <c:axId val="40154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.00;&quot;-£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39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18</xdr:col>
      <xdr:colOff>255960</xdr:colOff>
      <xdr:row>16</xdr:row>
      <xdr:rowOff>13320</xdr:rowOff>
    </xdr:to>
    <xdr:graphicFrame>
      <xdr:nvGraphicFramePr>
        <xdr:cNvPr id="0" name="Chart 1"/>
        <xdr:cNvGraphicFramePr/>
      </xdr:nvGraphicFramePr>
      <xdr:xfrm>
        <a:off x="914004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0.4</v>
      </c>
      <c r="C5" s="6" t="n">
        <v>1</v>
      </c>
      <c r="D5" s="6" t="n">
        <v>2.5</v>
      </c>
      <c r="E5" s="7" t="s">
        <v>8</v>
      </c>
    </row>
    <row r="6" customFormat="false" ht="15" hidden="false" customHeight="false" outlineLevel="0" collapsed="false">
      <c r="A6" s="4" t="s">
        <v>9</v>
      </c>
      <c r="B6" s="5" t="n">
        <v>0.003</v>
      </c>
      <c r="C6" s="5" t="n">
        <v>0.006</v>
      </c>
      <c r="D6" s="5" t="n">
        <v>0.01</v>
      </c>
      <c r="E6" s="7" t="s">
        <v>10</v>
      </c>
    </row>
    <row r="7" customFormat="false" ht="15" hidden="false" customHeight="false" outlineLevel="0" collapsed="false">
      <c r="A7" s="4" t="s">
        <v>11</v>
      </c>
      <c r="B7" s="5" t="n">
        <v>0.15</v>
      </c>
      <c r="C7" s="5" t="n">
        <v>0.25</v>
      </c>
      <c r="D7" s="5" t="n">
        <v>0.35</v>
      </c>
      <c r="E7" s="7" t="s">
        <v>12</v>
      </c>
    </row>
    <row r="8" customFormat="false" ht="15" hidden="false" customHeight="false" outlineLevel="0" collapsed="false">
      <c r="A8" s="4" t="s">
        <v>13</v>
      </c>
      <c r="B8" s="5" t="n">
        <v>0.03</v>
      </c>
      <c r="C8" s="5" t="n">
        <v>0.05</v>
      </c>
      <c r="D8" s="5" t="n">
        <v>0.08</v>
      </c>
      <c r="E8" s="7" t="s">
        <v>14</v>
      </c>
    </row>
    <row r="9" customFormat="false" ht="15" hidden="false" customHeight="false" outlineLevel="0" collapsed="false">
      <c r="A9" s="4" t="s">
        <v>15</v>
      </c>
      <c r="B9" s="6" t="n">
        <v>25</v>
      </c>
      <c r="C9" s="6" t="n">
        <v>35</v>
      </c>
      <c r="D9" s="6" t="n">
        <v>45</v>
      </c>
      <c r="E9" s="7" t="s">
        <v>16</v>
      </c>
    </row>
    <row r="10" customFormat="false" ht="15" hidden="false" customHeight="false" outlineLevel="0" collapsed="false">
      <c r="A10" s="4" t="s">
        <v>17</v>
      </c>
      <c r="B10" s="5" t="n">
        <v>0.025</v>
      </c>
      <c r="C10" s="5" t="n">
        <v>0.03</v>
      </c>
      <c r="D10" s="5" t="n">
        <v>0.04</v>
      </c>
      <c r="E10" s="7" t="s">
        <v>18</v>
      </c>
    </row>
    <row r="11" customFormat="false" ht="15" hidden="false" customHeight="false" outlineLevel="0" collapsed="false">
      <c r="A11" s="4" t="s">
        <v>19</v>
      </c>
      <c r="B11" s="5" t="n">
        <v>0.014</v>
      </c>
      <c r="C11" s="5" t="n">
        <v>0.02</v>
      </c>
      <c r="D11" s="5" t="n">
        <v>0.03</v>
      </c>
      <c r="E11" s="7" t="s">
        <v>20</v>
      </c>
    </row>
    <row r="12" customFormat="false" ht="15" hidden="false" customHeight="false" outlineLevel="0" collapsed="false">
      <c r="A12" s="4" t="s">
        <v>21</v>
      </c>
      <c r="B12" s="6" t="n">
        <v>80</v>
      </c>
      <c r="C12" s="6" t="n">
        <v>110</v>
      </c>
      <c r="D12" s="6" t="n">
        <v>150</v>
      </c>
      <c r="E12" s="7" t="s">
        <v>22</v>
      </c>
    </row>
    <row r="13" customFormat="false" ht="15" hidden="false" customHeight="false" outlineLevel="0" collapsed="false">
      <c r="A13" s="4" t="s">
        <v>23</v>
      </c>
      <c r="B13" s="5" t="n">
        <v>0.025</v>
      </c>
      <c r="C13" s="5" t="n">
        <v>0.035</v>
      </c>
      <c r="D13" s="5" t="n">
        <v>0.045</v>
      </c>
      <c r="E13" s="7" t="s">
        <v>24</v>
      </c>
    </row>
    <row r="14" customFormat="false" ht="15" hidden="false" customHeight="false" outlineLevel="0" collapsed="false">
      <c r="A14" s="4" t="s">
        <v>25</v>
      </c>
      <c r="B14" s="6" t="n">
        <v>23</v>
      </c>
      <c r="C14" s="6" t="n">
        <v>23</v>
      </c>
      <c r="D14" s="6" t="n">
        <v>23</v>
      </c>
      <c r="E14" s="7" t="s">
        <v>26</v>
      </c>
    </row>
    <row r="17" customFormat="false" ht="15" hidden="false" customHeight="false" outlineLevel="0" collapsed="false">
      <c r="A17" s="8" t="s">
        <v>27</v>
      </c>
    </row>
    <row r="18" customFormat="false" ht="15" hidden="false" customHeight="false" outlineLevel="0" collapsed="false">
      <c r="A18" s="3" t="s">
        <v>28</v>
      </c>
      <c r="B18" s="3" t="s">
        <v>29</v>
      </c>
      <c r="C18" s="3" t="s">
        <v>30</v>
      </c>
      <c r="D18" s="3" t="s">
        <v>31</v>
      </c>
      <c r="E18" s="3" t="s">
        <v>32</v>
      </c>
    </row>
    <row r="19" customFormat="false" ht="15" hidden="false" customHeight="false" outlineLevel="0" collapsed="false">
      <c r="A19" s="4" t="s">
        <v>33</v>
      </c>
      <c r="B19" s="6" t="n">
        <v>2000</v>
      </c>
      <c r="C19" s="9" t="n">
        <v>0</v>
      </c>
      <c r="D19" s="10" t="n">
        <v>1</v>
      </c>
      <c r="E19" s="7" t="s">
        <v>34</v>
      </c>
    </row>
    <row r="20" customFormat="false" ht="15" hidden="false" customHeight="false" outlineLevel="0" collapsed="false">
      <c r="A20" s="4" t="s">
        <v>35</v>
      </c>
      <c r="B20" s="6" t="n">
        <v>12000</v>
      </c>
      <c r="C20" s="9" t="n">
        <v>0.3</v>
      </c>
      <c r="D20" s="10" t="n">
        <v>1.1</v>
      </c>
      <c r="E20" s="7" t="s">
        <v>36</v>
      </c>
    </row>
    <row r="21" customFormat="false" ht="15" hidden="false" customHeight="false" outlineLevel="0" collapsed="false">
      <c r="A21" s="4" t="s">
        <v>37</v>
      </c>
      <c r="B21" s="6" t="n">
        <v>30000</v>
      </c>
      <c r="C21" s="9" t="n">
        <v>0.5</v>
      </c>
      <c r="D21" s="10" t="n">
        <v>1.3</v>
      </c>
      <c r="E21" s="7" t="s">
        <v>38</v>
      </c>
    </row>
    <row r="22" customFormat="false" ht="15" hidden="false" customHeight="false" outlineLevel="0" collapsed="false">
      <c r="A22" s="4" t="s">
        <v>39</v>
      </c>
      <c r="B22" s="6" t="n">
        <v>28000</v>
      </c>
      <c r="C22" s="9" t="n">
        <v>0.5</v>
      </c>
      <c r="D22" s="10" t="n">
        <v>0.9</v>
      </c>
      <c r="E22" s="7" t="s">
        <v>40</v>
      </c>
    </row>
    <row r="23" customFormat="false" ht="15" hidden="false" customHeight="false" outlineLevel="0" collapsed="false">
      <c r="A23" s="4" t="s">
        <v>41</v>
      </c>
      <c r="B23" s="6" t="n">
        <v>38000</v>
      </c>
      <c r="C23" s="9" t="n">
        <v>0.5</v>
      </c>
      <c r="D23" s="10" t="n">
        <v>0.9</v>
      </c>
      <c r="E23" s="7"/>
    </row>
    <row r="24" customFormat="false" ht="15" hidden="false" customHeight="false" outlineLevel="0" collapsed="false">
      <c r="A24" s="4" t="s">
        <v>42</v>
      </c>
      <c r="B24" s="6" t="n">
        <v>50000</v>
      </c>
      <c r="C24" s="9" t="n">
        <v>0.5</v>
      </c>
      <c r="D24" s="10" t="n">
        <v>1</v>
      </c>
      <c r="E24" s="7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8" t="s">
        <v>46</v>
      </c>
      <c r="B4" s="11" t="str">
        <f aca="false">Assumptions!A19</f>
        <v>Oct 2026</v>
      </c>
      <c r="C4" s="11" t="str">
        <f aca="false">Assumptions!A20</f>
        <v>Nov 2026</v>
      </c>
      <c r="D4" s="11" t="str">
        <f aca="false">Assumptions!A21</f>
        <v>Dec 2026</v>
      </c>
      <c r="E4" s="11" t="str">
        <f aca="false">Assumptions!A22</f>
        <v>Jan 2027</v>
      </c>
      <c r="F4" s="11" t="str">
        <f aca="false">Assumptions!A23</f>
        <v>Feb 2027</v>
      </c>
      <c r="G4" s="11" t="str">
        <f aca="false">Assumptions!A24</f>
        <v>Mar 2027</v>
      </c>
      <c r="H4" s="11" t="s">
        <v>47</v>
      </c>
    </row>
    <row r="5" customFormat="false" ht="15" hidden="false" customHeight="false" outlineLevel="0" collapsed="false">
      <c r="A5" s="4" t="s">
        <v>48</v>
      </c>
      <c r="B5" s="12" t="n">
        <f aca="false">Assumptions!B19*Assumptions!$B$5</f>
        <v>800</v>
      </c>
      <c r="C5" s="12" t="n">
        <f aca="false">Assumptions!B20*Assumptions!$B$5</f>
        <v>4800</v>
      </c>
      <c r="D5" s="12" t="n">
        <f aca="false">Assumptions!B21*Assumptions!$B$5</f>
        <v>12000</v>
      </c>
      <c r="E5" s="12" t="n">
        <f aca="false">Assumptions!B22*Assumptions!$B$5</f>
        <v>11200</v>
      </c>
      <c r="F5" s="12" t="n">
        <f aca="false">Assumptions!B23*Assumptions!$B$5</f>
        <v>15200</v>
      </c>
      <c r="G5" s="12" t="n">
        <f aca="false">Assumptions!B24*Assumptions!$B$5</f>
        <v>20000</v>
      </c>
      <c r="H5" s="13" t="n">
        <f aca="false">SUM(B5:G5)</f>
        <v>64000</v>
      </c>
    </row>
    <row r="6" customFormat="false" ht="15" hidden="false" customHeight="false" outlineLevel="0" collapsed="false">
      <c r="A6" s="4" t="s">
        <v>49</v>
      </c>
      <c r="B6" s="12" t="n">
        <f aca="false">B5*Assumptions!$B$6</f>
        <v>2.4</v>
      </c>
      <c r="C6" s="12" t="n">
        <f aca="false">C5*Assumptions!$B$6</f>
        <v>14.4</v>
      </c>
      <c r="D6" s="12" t="n">
        <f aca="false">D5*Assumptions!$B$6</f>
        <v>36</v>
      </c>
      <c r="E6" s="12" t="n">
        <f aca="false">E5*Assumptions!$B$6</f>
        <v>33.6</v>
      </c>
      <c r="F6" s="12" t="n">
        <f aca="false">F5*Assumptions!$B$6</f>
        <v>45.6</v>
      </c>
      <c r="G6" s="12" t="n">
        <f aca="false">G5*Assumptions!$B$6</f>
        <v>60</v>
      </c>
      <c r="H6" s="13" t="n">
        <f aca="false">SUM(B6:G6)</f>
        <v>192</v>
      </c>
    </row>
    <row r="7" customFormat="false" ht="15" hidden="false" customHeight="false" outlineLevel="0" collapsed="false">
      <c r="A7" s="4" t="s">
        <v>50</v>
      </c>
      <c r="B7" s="12" t="n">
        <f aca="false">B6*Assumptions!$B$7</f>
        <v>0.36</v>
      </c>
      <c r="C7" s="12" t="n">
        <f aca="false">C6*Assumptions!$B$7</f>
        <v>2.16</v>
      </c>
      <c r="D7" s="12" t="n">
        <f aca="false">D6*Assumptions!$B$7</f>
        <v>5.4</v>
      </c>
      <c r="E7" s="12" t="n">
        <f aca="false">E6*Assumptions!$B$7</f>
        <v>5.04</v>
      </c>
      <c r="F7" s="12" t="n">
        <f aca="false">F6*Assumptions!$B$7</f>
        <v>6.84</v>
      </c>
      <c r="G7" s="12" t="n">
        <f aca="false">G6*Assumptions!$B$7</f>
        <v>9</v>
      </c>
      <c r="H7" s="13" t="n">
        <f aca="false">SUM(B7:G7)</f>
        <v>28.8</v>
      </c>
    </row>
    <row r="8" customFormat="false" ht="15" hidden="false" customHeight="false" outlineLevel="0" collapsed="false">
      <c r="A8" s="4" t="s">
        <v>51</v>
      </c>
      <c r="B8" s="12" t="n">
        <f aca="false">B7*(1-Assumptions!C19)</f>
        <v>0.36</v>
      </c>
      <c r="C8" s="12" t="n">
        <f aca="false">C7*(1-Assumptions!C20)</f>
        <v>1.512</v>
      </c>
      <c r="D8" s="12" t="n">
        <f aca="false">D7*(1-Assumptions!C21)</f>
        <v>2.7</v>
      </c>
      <c r="E8" s="12" t="n">
        <f aca="false">E7*(1-Assumptions!C22)</f>
        <v>2.52</v>
      </c>
      <c r="F8" s="12" t="n">
        <f aca="false">F7*(1-Assumptions!C23)</f>
        <v>3.42</v>
      </c>
      <c r="G8" s="12" t="n">
        <f aca="false">G7*(1-Assumptions!C24)</f>
        <v>4.5</v>
      </c>
      <c r="H8" s="13" t="n">
        <f aca="false">SUM(B8:G8)</f>
        <v>15.012</v>
      </c>
    </row>
    <row r="9" customFormat="false" ht="15" hidden="false" customHeight="false" outlineLevel="0" collapsed="false">
      <c r="A9" s="4" t="s">
        <v>52</v>
      </c>
      <c r="B9" s="14" t="n">
        <f aca="false">B8*Assumptions!$B$8*Assumptions!D19</f>
        <v>0.0108</v>
      </c>
      <c r="C9" s="14" t="n">
        <f aca="false">C8*Assumptions!$B$8*Assumptions!D20</f>
        <v>0.049896</v>
      </c>
      <c r="D9" s="14" t="n">
        <f aca="false">D8*Assumptions!$B$8*Assumptions!D21</f>
        <v>0.1053</v>
      </c>
      <c r="E9" s="14" t="n">
        <f aca="false">E8*Assumptions!$B$8*Assumptions!D22</f>
        <v>0.06804</v>
      </c>
      <c r="F9" s="14" t="n">
        <f aca="false">F8*Assumptions!$B$8*Assumptions!D23</f>
        <v>0.09234</v>
      </c>
      <c r="G9" s="14" t="n">
        <f aca="false">G8*Assumptions!$B$8*Assumptions!D24</f>
        <v>0.135</v>
      </c>
      <c r="H9" s="15" t="n">
        <f aca="false">SUM(B9:G9)</f>
        <v>0.461376</v>
      </c>
    </row>
    <row r="10" customFormat="false" ht="15" hidden="false" customHeight="false" outlineLevel="0" collapsed="false">
      <c r="A10" s="4" t="s">
        <v>53</v>
      </c>
      <c r="B10" s="16" t="n">
        <f aca="false">B9*Assumptions!$B$9*Assumptions!$B$10</f>
        <v>0.00675</v>
      </c>
      <c r="C10" s="16" t="n">
        <f aca="false">C9*Assumptions!$B$9*Assumptions!$B$10</f>
        <v>0.031185</v>
      </c>
      <c r="D10" s="16" t="n">
        <f aca="false">D9*Assumptions!$B$9*Assumptions!$B$10</f>
        <v>0.0658125</v>
      </c>
      <c r="E10" s="16" t="n">
        <f aca="false">E9*Assumptions!$B$9*Assumptions!$B$10</f>
        <v>0.042525</v>
      </c>
      <c r="F10" s="16" t="n">
        <f aca="false">F9*Assumptions!$B$9*Assumptions!$B$10</f>
        <v>0.0577125</v>
      </c>
      <c r="G10" s="16" t="n">
        <f aca="false">G9*Assumptions!$B$9*Assumptions!$B$10</f>
        <v>0.084375</v>
      </c>
      <c r="H10" s="17" t="n">
        <f aca="false">SUM(B10:G10)</f>
        <v>0.28836</v>
      </c>
    </row>
    <row r="11" customFormat="false" ht="15" hidden="false" customHeight="false" outlineLevel="0" collapsed="false">
      <c r="A11" s="4" t="s">
        <v>54</v>
      </c>
      <c r="B11" s="12" t="n">
        <f aca="false">B7*Assumptions!C19</f>
        <v>0</v>
      </c>
      <c r="C11" s="12" t="n">
        <f aca="false">C7*Assumptions!C20</f>
        <v>0.648</v>
      </c>
      <c r="D11" s="12" t="n">
        <f aca="false">D7*Assumptions!C21</f>
        <v>2.7</v>
      </c>
      <c r="E11" s="12" t="n">
        <f aca="false">E7*Assumptions!C22</f>
        <v>2.52</v>
      </c>
      <c r="F11" s="12" t="n">
        <f aca="false">F7*Assumptions!C23</f>
        <v>3.42</v>
      </c>
      <c r="G11" s="12" t="n">
        <f aca="false">G7*Assumptions!C24</f>
        <v>4.5</v>
      </c>
      <c r="H11" s="13" t="n">
        <f aca="false">SUM(B11:G11)</f>
        <v>13.788</v>
      </c>
    </row>
    <row r="12" customFormat="false" ht="15" hidden="false" customHeight="false" outlineLevel="0" collapsed="false">
      <c r="A12" s="4" t="s">
        <v>55</v>
      </c>
      <c r="B12" s="14" t="n">
        <f aca="false">B11*Assumptions!$B$11*Assumptions!D19</f>
        <v>0</v>
      </c>
      <c r="C12" s="14" t="n">
        <f aca="false">C11*Assumptions!$B$11*Assumptions!D20</f>
        <v>0.0099792</v>
      </c>
      <c r="D12" s="14" t="n">
        <f aca="false">D11*Assumptions!$B$11*Assumptions!D21</f>
        <v>0.04914</v>
      </c>
      <c r="E12" s="14" t="n">
        <f aca="false">E11*Assumptions!$B$11*Assumptions!D22</f>
        <v>0.031752</v>
      </c>
      <c r="F12" s="14" t="n">
        <f aca="false">F11*Assumptions!$B$11*Assumptions!D23</f>
        <v>0.043092</v>
      </c>
      <c r="G12" s="14" t="n">
        <f aca="false">G11*Assumptions!$B$11*Assumptions!D24</f>
        <v>0.063</v>
      </c>
      <c r="H12" s="15" t="n">
        <f aca="false">SUM(B12:G12)</f>
        <v>0.1969632</v>
      </c>
    </row>
    <row r="13" customFormat="false" ht="15" hidden="false" customHeight="false" outlineLevel="0" collapsed="false">
      <c r="A13" s="4" t="s">
        <v>56</v>
      </c>
      <c r="B13" s="16" t="n">
        <f aca="false">B12*Assumptions!$B$12*Assumptions!$B$13</f>
        <v>0</v>
      </c>
      <c r="C13" s="16" t="n">
        <f aca="false">C12*Assumptions!$B$12*Assumptions!$B$13</f>
        <v>0.0199584</v>
      </c>
      <c r="D13" s="16" t="n">
        <f aca="false">D12*Assumptions!$B$12*Assumptions!$B$13</f>
        <v>0.09828</v>
      </c>
      <c r="E13" s="16" t="n">
        <f aca="false">E12*Assumptions!$B$12*Assumptions!$B$13</f>
        <v>0.063504</v>
      </c>
      <c r="F13" s="16" t="n">
        <f aca="false">F12*Assumptions!$B$12*Assumptions!$B$13</f>
        <v>0.086184</v>
      </c>
      <c r="G13" s="16" t="n">
        <f aca="false">G12*Assumptions!$B$12*Assumptions!$B$13</f>
        <v>0.126</v>
      </c>
      <c r="H13" s="17" t="n">
        <f aca="false">SUM(B13:G13)</f>
        <v>0.3939264</v>
      </c>
    </row>
    <row r="14" customFormat="false" ht="15" hidden="false" customHeight="false" outlineLevel="0" collapsed="false">
      <c r="A14" s="11" t="s">
        <v>57</v>
      </c>
      <c r="B14" s="17" t="n">
        <f aca="false">B10+B13</f>
        <v>0.00675</v>
      </c>
      <c r="C14" s="17" t="n">
        <f aca="false">C10+C13</f>
        <v>0.0511434</v>
      </c>
      <c r="D14" s="17" t="n">
        <f aca="false">D10+D13</f>
        <v>0.1640925</v>
      </c>
      <c r="E14" s="17" t="n">
        <f aca="false">E10+E13</f>
        <v>0.106029</v>
      </c>
      <c r="F14" s="17" t="n">
        <f aca="false">F10+F13</f>
        <v>0.1438965</v>
      </c>
      <c r="G14" s="17" t="n">
        <f aca="false">G10+G13</f>
        <v>0.210375</v>
      </c>
      <c r="H14" s="17" t="n">
        <f aca="false">SUM(B14:G14)</f>
        <v>0.6822864</v>
      </c>
    </row>
    <row r="15" customFormat="false" ht="15" hidden="false" customHeight="false" outlineLevel="0" collapsed="false">
      <c r="A15" s="4" t="s">
        <v>58</v>
      </c>
      <c r="B15" s="16" t="n">
        <f aca="false">Assumptions!$B$14</f>
        <v>23</v>
      </c>
      <c r="C15" s="16" t="n">
        <f aca="false">Assumptions!$B$14</f>
        <v>23</v>
      </c>
      <c r="D15" s="16" t="n">
        <f aca="false">Assumptions!$B$14</f>
        <v>23</v>
      </c>
      <c r="E15" s="16" t="n">
        <f aca="false">Assumptions!$B$14</f>
        <v>23</v>
      </c>
      <c r="F15" s="16" t="n">
        <f aca="false">Assumptions!$B$14</f>
        <v>23</v>
      </c>
      <c r="G15" s="16" t="n">
        <f aca="false">Assumptions!$B$14</f>
        <v>23</v>
      </c>
      <c r="H15" s="17" t="n">
        <f aca="false">SUM(B15:G15)</f>
        <v>138</v>
      </c>
    </row>
    <row r="16" customFormat="false" ht="15" hidden="false" customHeight="false" outlineLevel="0" collapsed="false">
      <c r="A16" s="11" t="s">
        <v>59</v>
      </c>
      <c r="B16" s="17" t="n">
        <f aca="false">B14-B15</f>
        <v>-22.99325</v>
      </c>
      <c r="C16" s="17" t="n">
        <f aca="false">C14-C15</f>
        <v>-22.9488566</v>
      </c>
      <c r="D16" s="17" t="n">
        <f aca="false">D14-D15</f>
        <v>-22.8359075</v>
      </c>
      <c r="E16" s="17" t="n">
        <f aca="false">E14-E15</f>
        <v>-22.893971</v>
      </c>
      <c r="F16" s="17" t="n">
        <f aca="false">F14-F15</f>
        <v>-22.8561035</v>
      </c>
      <c r="G16" s="17" t="n">
        <f aca="false">G14-G15</f>
        <v>-22.789625</v>
      </c>
      <c r="H16" s="17" t="n">
        <f aca="false">SUM(B16:G16)</f>
        <v>-137.3177136</v>
      </c>
    </row>
    <row r="17" customFormat="false" ht="15" hidden="false" customHeight="false" outlineLevel="0" collapsed="false">
      <c r="A17" s="4" t="s">
        <v>60</v>
      </c>
      <c r="B17" s="14" t="n">
        <f aca="false">SUM($B$9:B9)</f>
        <v>0.0108</v>
      </c>
      <c r="C17" s="14" t="n">
        <f aca="false">SUM($B$9:C9)</f>
        <v>0.060696</v>
      </c>
      <c r="D17" s="14" t="n">
        <f aca="false">SUM($B$9:D9)</f>
        <v>0.165996</v>
      </c>
      <c r="E17" s="14" t="n">
        <f aca="false">SUM($B$9:E9)</f>
        <v>0.234036</v>
      </c>
      <c r="F17" s="14" t="n">
        <f aca="false">SUM($B$9:F9)</f>
        <v>0.326376</v>
      </c>
      <c r="G17" s="14" t="n">
        <f aca="false">SUM($B$9:G9)</f>
        <v>0.461376</v>
      </c>
    </row>
    <row r="20" customFormat="false" ht="15" hidden="false" customHeight="false" outlineLevel="0" collapsed="false">
      <c r="A20" s="8" t="s">
        <v>61</v>
      </c>
      <c r="B20" s="11" t="str">
        <f aca="false">Assumptions!A19</f>
        <v>Oct 2026</v>
      </c>
      <c r="C20" s="11" t="str">
        <f aca="false">Assumptions!A20</f>
        <v>Nov 2026</v>
      </c>
      <c r="D20" s="11" t="str">
        <f aca="false">Assumptions!A21</f>
        <v>Dec 2026</v>
      </c>
      <c r="E20" s="11" t="str">
        <f aca="false">Assumptions!A22</f>
        <v>Jan 2027</v>
      </c>
      <c r="F20" s="11" t="str">
        <f aca="false">Assumptions!A23</f>
        <v>Feb 2027</v>
      </c>
      <c r="G20" s="11" t="str">
        <f aca="false">Assumptions!A24</f>
        <v>Mar 2027</v>
      </c>
      <c r="H20" s="11" t="s">
        <v>47</v>
      </c>
    </row>
    <row r="21" customFormat="false" ht="15" hidden="false" customHeight="false" outlineLevel="0" collapsed="false">
      <c r="A21" s="4" t="s">
        <v>48</v>
      </c>
      <c r="B21" s="12" t="n">
        <f aca="false">Assumptions!B19*Assumptions!$C$5</f>
        <v>2000</v>
      </c>
      <c r="C21" s="12" t="n">
        <f aca="false">Assumptions!B20*Assumptions!$C$5</f>
        <v>12000</v>
      </c>
      <c r="D21" s="12" t="n">
        <f aca="false">Assumptions!B21*Assumptions!$C$5</f>
        <v>30000</v>
      </c>
      <c r="E21" s="12" t="n">
        <f aca="false">Assumptions!B22*Assumptions!$C$5</f>
        <v>28000</v>
      </c>
      <c r="F21" s="12" t="n">
        <f aca="false">Assumptions!B23*Assumptions!$C$5</f>
        <v>38000</v>
      </c>
      <c r="G21" s="12" t="n">
        <f aca="false">Assumptions!B24*Assumptions!$C$5</f>
        <v>50000</v>
      </c>
      <c r="H21" s="13" t="n">
        <f aca="false">SUM(B21:G21)</f>
        <v>160000</v>
      </c>
    </row>
    <row r="22" customFormat="false" ht="15" hidden="false" customHeight="false" outlineLevel="0" collapsed="false">
      <c r="A22" s="4" t="s">
        <v>49</v>
      </c>
      <c r="B22" s="12" t="n">
        <f aca="false">B21*Assumptions!$C$6</f>
        <v>12</v>
      </c>
      <c r="C22" s="12" t="n">
        <f aca="false">C21*Assumptions!$C$6</f>
        <v>72</v>
      </c>
      <c r="D22" s="12" t="n">
        <f aca="false">D21*Assumptions!$C$6</f>
        <v>180</v>
      </c>
      <c r="E22" s="12" t="n">
        <f aca="false">E21*Assumptions!$C$6</f>
        <v>168</v>
      </c>
      <c r="F22" s="12" t="n">
        <f aca="false">F21*Assumptions!$C$6</f>
        <v>228</v>
      </c>
      <c r="G22" s="12" t="n">
        <f aca="false">G21*Assumptions!$C$6</f>
        <v>300</v>
      </c>
      <c r="H22" s="13" t="n">
        <f aca="false">SUM(B22:G22)</f>
        <v>960</v>
      </c>
    </row>
    <row r="23" customFormat="false" ht="15" hidden="false" customHeight="false" outlineLevel="0" collapsed="false">
      <c r="A23" s="4" t="s">
        <v>50</v>
      </c>
      <c r="B23" s="12" t="n">
        <f aca="false">B22*Assumptions!$C$7</f>
        <v>3</v>
      </c>
      <c r="C23" s="12" t="n">
        <f aca="false">C22*Assumptions!$C$7</f>
        <v>18</v>
      </c>
      <c r="D23" s="12" t="n">
        <f aca="false">D22*Assumptions!$C$7</f>
        <v>45</v>
      </c>
      <c r="E23" s="12" t="n">
        <f aca="false">E22*Assumptions!$C$7</f>
        <v>42</v>
      </c>
      <c r="F23" s="12" t="n">
        <f aca="false">F22*Assumptions!$C$7</f>
        <v>57</v>
      </c>
      <c r="G23" s="12" t="n">
        <f aca="false">G22*Assumptions!$C$7</f>
        <v>75</v>
      </c>
      <c r="H23" s="13" t="n">
        <f aca="false">SUM(B23:G23)</f>
        <v>240</v>
      </c>
    </row>
    <row r="24" customFormat="false" ht="15" hidden="false" customHeight="false" outlineLevel="0" collapsed="false">
      <c r="A24" s="4" t="s">
        <v>51</v>
      </c>
      <c r="B24" s="12" t="n">
        <f aca="false">B23*(1-Assumptions!C19)</f>
        <v>3</v>
      </c>
      <c r="C24" s="12" t="n">
        <f aca="false">C23*(1-Assumptions!C20)</f>
        <v>12.6</v>
      </c>
      <c r="D24" s="12" t="n">
        <f aca="false">D23*(1-Assumptions!C21)</f>
        <v>22.5</v>
      </c>
      <c r="E24" s="12" t="n">
        <f aca="false">E23*(1-Assumptions!C22)</f>
        <v>21</v>
      </c>
      <c r="F24" s="12" t="n">
        <f aca="false">F23*(1-Assumptions!C23)</f>
        <v>28.5</v>
      </c>
      <c r="G24" s="12" t="n">
        <f aca="false">G23*(1-Assumptions!C24)</f>
        <v>37.5</v>
      </c>
      <c r="H24" s="13" t="n">
        <f aca="false">SUM(B24:G24)</f>
        <v>125.1</v>
      </c>
    </row>
    <row r="25" customFormat="false" ht="15" hidden="false" customHeight="false" outlineLevel="0" collapsed="false">
      <c r="A25" s="4" t="s">
        <v>52</v>
      </c>
      <c r="B25" s="14" t="n">
        <f aca="false">B24*Assumptions!$C$8*Assumptions!D19</f>
        <v>0.15</v>
      </c>
      <c r="C25" s="14" t="n">
        <f aca="false">C24*Assumptions!$C$8*Assumptions!D20</f>
        <v>0.693</v>
      </c>
      <c r="D25" s="14" t="n">
        <f aca="false">D24*Assumptions!$C$8*Assumptions!D21</f>
        <v>1.4625</v>
      </c>
      <c r="E25" s="14" t="n">
        <f aca="false">E24*Assumptions!$C$8*Assumptions!D22</f>
        <v>0.945</v>
      </c>
      <c r="F25" s="14" t="n">
        <f aca="false">F24*Assumptions!$C$8*Assumptions!D23</f>
        <v>1.2825</v>
      </c>
      <c r="G25" s="14" t="n">
        <f aca="false">G24*Assumptions!$C$8*Assumptions!D24</f>
        <v>1.875</v>
      </c>
      <c r="H25" s="15" t="n">
        <f aca="false">SUM(B25:G25)</f>
        <v>6.408</v>
      </c>
    </row>
    <row r="26" customFormat="false" ht="15" hidden="false" customHeight="false" outlineLevel="0" collapsed="false">
      <c r="A26" s="4" t="s">
        <v>53</v>
      </c>
      <c r="B26" s="16" t="n">
        <f aca="false">B25*Assumptions!$C$9*Assumptions!$C$10</f>
        <v>0.1575</v>
      </c>
      <c r="C26" s="16" t="n">
        <f aca="false">C25*Assumptions!$C$9*Assumptions!$C$10</f>
        <v>0.72765</v>
      </c>
      <c r="D26" s="16" t="n">
        <f aca="false">D25*Assumptions!$C$9*Assumptions!$C$10</f>
        <v>1.535625</v>
      </c>
      <c r="E26" s="16" t="n">
        <f aca="false">E25*Assumptions!$C$9*Assumptions!$C$10</f>
        <v>0.99225</v>
      </c>
      <c r="F26" s="16" t="n">
        <f aca="false">F25*Assumptions!$C$9*Assumptions!$C$10</f>
        <v>1.346625</v>
      </c>
      <c r="G26" s="16" t="n">
        <f aca="false">G25*Assumptions!$C$9*Assumptions!$C$10</f>
        <v>1.96875</v>
      </c>
      <c r="H26" s="17" t="n">
        <f aca="false">SUM(B26:G26)</f>
        <v>6.7284</v>
      </c>
    </row>
    <row r="27" customFormat="false" ht="15" hidden="false" customHeight="false" outlineLevel="0" collapsed="false">
      <c r="A27" s="4" t="s">
        <v>54</v>
      </c>
      <c r="B27" s="12" t="n">
        <f aca="false">B23*Assumptions!C19</f>
        <v>0</v>
      </c>
      <c r="C27" s="12" t="n">
        <f aca="false">C23*Assumptions!C20</f>
        <v>5.4</v>
      </c>
      <c r="D27" s="12" t="n">
        <f aca="false">D23*Assumptions!C21</f>
        <v>22.5</v>
      </c>
      <c r="E27" s="12" t="n">
        <f aca="false">E23*Assumptions!C22</f>
        <v>21</v>
      </c>
      <c r="F27" s="12" t="n">
        <f aca="false">F23*Assumptions!C23</f>
        <v>28.5</v>
      </c>
      <c r="G27" s="12" t="n">
        <f aca="false">G23*Assumptions!C24</f>
        <v>37.5</v>
      </c>
      <c r="H27" s="13" t="n">
        <f aca="false">SUM(B27:G27)</f>
        <v>114.9</v>
      </c>
    </row>
    <row r="28" customFormat="false" ht="15" hidden="false" customHeight="false" outlineLevel="0" collapsed="false">
      <c r="A28" s="4" t="s">
        <v>55</v>
      </c>
      <c r="B28" s="14" t="n">
        <f aca="false">B27*Assumptions!$C$11*Assumptions!D19</f>
        <v>0</v>
      </c>
      <c r="C28" s="14" t="n">
        <f aca="false">C27*Assumptions!$C$11*Assumptions!D20</f>
        <v>0.1188</v>
      </c>
      <c r="D28" s="14" t="n">
        <f aca="false">D27*Assumptions!$C$11*Assumptions!D21</f>
        <v>0.585</v>
      </c>
      <c r="E28" s="14" t="n">
        <f aca="false">E27*Assumptions!$C$11*Assumptions!D22</f>
        <v>0.378</v>
      </c>
      <c r="F28" s="14" t="n">
        <f aca="false">F27*Assumptions!$C$11*Assumptions!D23</f>
        <v>0.513</v>
      </c>
      <c r="G28" s="14" t="n">
        <f aca="false">G27*Assumptions!$C$11*Assumptions!D24</f>
        <v>0.75</v>
      </c>
      <c r="H28" s="15" t="n">
        <f aca="false">SUM(B28:G28)</f>
        <v>2.3448</v>
      </c>
    </row>
    <row r="29" customFormat="false" ht="15" hidden="false" customHeight="false" outlineLevel="0" collapsed="false">
      <c r="A29" s="4" t="s">
        <v>56</v>
      </c>
      <c r="B29" s="16" t="n">
        <f aca="false">B28*Assumptions!$C$12*Assumptions!$C$13</f>
        <v>0</v>
      </c>
      <c r="C29" s="16" t="n">
        <f aca="false">C28*Assumptions!$C$12*Assumptions!$C$13</f>
        <v>0.45738</v>
      </c>
      <c r="D29" s="16" t="n">
        <f aca="false">D28*Assumptions!$C$12*Assumptions!$C$13</f>
        <v>2.25225</v>
      </c>
      <c r="E29" s="16" t="n">
        <f aca="false">E28*Assumptions!$C$12*Assumptions!$C$13</f>
        <v>1.4553</v>
      </c>
      <c r="F29" s="16" t="n">
        <f aca="false">F28*Assumptions!$C$12*Assumptions!$C$13</f>
        <v>1.97505</v>
      </c>
      <c r="G29" s="16" t="n">
        <f aca="false">G28*Assumptions!$C$12*Assumptions!$C$13</f>
        <v>2.8875</v>
      </c>
      <c r="H29" s="17" t="n">
        <f aca="false">SUM(B29:G29)</f>
        <v>9.02748</v>
      </c>
    </row>
    <row r="30" customFormat="false" ht="15" hidden="false" customHeight="false" outlineLevel="0" collapsed="false">
      <c r="A30" s="11" t="s">
        <v>57</v>
      </c>
      <c r="B30" s="17" t="n">
        <f aca="false">B26+B29</f>
        <v>0.1575</v>
      </c>
      <c r="C30" s="17" t="n">
        <f aca="false">C26+C29</f>
        <v>1.18503</v>
      </c>
      <c r="D30" s="17" t="n">
        <f aca="false">D26+D29</f>
        <v>3.787875</v>
      </c>
      <c r="E30" s="17" t="n">
        <f aca="false">E26+E29</f>
        <v>2.44755</v>
      </c>
      <c r="F30" s="17" t="n">
        <f aca="false">F26+F29</f>
        <v>3.321675</v>
      </c>
      <c r="G30" s="17" t="n">
        <f aca="false">G26+G29</f>
        <v>4.85625</v>
      </c>
      <c r="H30" s="17" t="n">
        <f aca="false">SUM(B30:G30)</f>
        <v>15.75588</v>
      </c>
    </row>
    <row r="31" customFormat="false" ht="15" hidden="false" customHeight="false" outlineLevel="0" collapsed="false">
      <c r="A31" s="4" t="s">
        <v>58</v>
      </c>
      <c r="B31" s="16" t="n">
        <f aca="false">Assumptions!$C$14</f>
        <v>23</v>
      </c>
      <c r="C31" s="16" t="n">
        <f aca="false">Assumptions!$C$14</f>
        <v>23</v>
      </c>
      <c r="D31" s="16" t="n">
        <f aca="false">Assumptions!$C$14</f>
        <v>23</v>
      </c>
      <c r="E31" s="16" t="n">
        <f aca="false">Assumptions!$C$14</f>
        <v>23</v>
      </c>
      <c r="F31" s="16" t="n">
        <f aca="false">Assumptions!$C$14</f>
        <v>23</v>
      </c>
      <c r="G31" s="16" t="n">
        <f aca="false">Assumptions!$C$14</f>
        <v>23</v>
      </c>
      <c r="H31" s="17" t="n">
        <f aca="false">SUM(B31:G31)</f>
        <v>138</v>
      </c>
    </row>
    <row r="32" customFormat="false" ht="15" hidden="false" customHeight="false" outlineLevel="0" collapsed="false">
      <c r="A32" s="11" t="s">
        <v>59</v>
      </c>
      <c r="B32" s="17" t="n">
        <f aca="false">B30-B31</f>
        <v>-22.8425</v>
      </c>
      <c r="C32" s="17" t="n">
        <f aca="false">C30-C31</f>
        <v>-21.81497</v>
      </c>
      <c r="D32" s="17" t="n">
        <f aca="false">D30-D31</f>
        <v>-19.212125</v>
      </c>
      <c r="E32" s="17" t="n">
        <f aca="false">E30-E31</f>
        <v>-20.55245</v>
      </c>
      <c r="F32" s="17" t="n">
        <f aca="false">F30-F31</f>
        <v>-19.678325</v>
      </c>
      <c r="G32" s="17" t="n">
        <f aca="false">G30-G31</f>
        <v>-18.14375</v>
      </c>
      <c r="H32" s="17" t="n">
        <f aca="false">SUM(B32:G32)</f>
        <v>-122.24412</v>
      </c>
    </row>
    <row r="33" customFormat="false" ht="15" hidden="false" customHeight="false" outlineLevel="0" collapsed="false">
      <c r="A33" s="4" t="s">
        <v>60</v>
      </c>
      <c r="B33" s="14" t="n">
        <f aca="false">SUM($B$25:B25)</f>
        <v>0.15</v>
      </c>
      <c r="C33" s="14" t="n">
        <f aca="false">SUM($B$25:C25)</f>
        <v>0.843</v>
      </c>
      <c r="D33" s="14" t="n">
        <f aca="false">SUM($B$25:D25)</f>
        <v>2.3055</v>
      </c>
      <c r="E33" s="14" t="n">
        <f aca="false">SUM($B$25:E25)</f>
        <v>3.2505</v>
      </c>
      <c r="F33" s="14" t="n">
        <f aca="false">SUM($B$25:F25)</f>
        <v>4.533</v>
      </c>
      <c r="G33" s="14" t="n">
        <f aca="false">SUM($B$25:G25)</f>
        <v>6.408</v>
      </c>
    </row>
    <row r="36" customFormat="false" ht="15" hidden="false" customHeight="false" outlineLevel="0" collapsed="false">
      <c r="A36" s="8" t="s">
        <v>62</v>
      </c>
      <c r="B36" s="11" t="str">
        <f aca="false">Assumptions!A19</f>
        <v>Oct 2026</v>
      </c>
      <c r="C36" s="11" t="str">
        <f aca="false">Assumptions!A20</f>
        <v>Nov 2026</v>
      </c>
      <c r="D36" s="11" t="str">
        <f aca="false">Assumptions!A21</f>
        <v>Dec 2026</v>
      </c>
      <c r="E36" s="11" t="str">
        <f aca="false">Assumptions!A22</f>
        <v>Jan 2027</v>
      </c>
      <c r="F36" s="11" t="str">
        <f aca="false">Assumptions!A23</f>
        <v>Feb 2027</v>
      </c>
      <c r="G36" s="11" t="str">
        <f aca="false">Assumptions!A24</f>
        <v>Mar 2027</v>
      </c>
      <c r="H36" s="11" t="s">
        <v>47</v>
      </c>
    </row>
    <row r="37" customFormat="false" ht="15" hidden="false" customHeight="false" outlineLevel="0" collapsed="false">
      <c r="A37" s="4" t="s">
        <v>48</v>
      </c>
      <c r="B37" s="12" t="n">
        <f aca="false">Assumptions!B19*Assumptions!$D$5</f>
        <v>5000</v>
      </c>
      <c r="C37" s="12" t="n">
        <f aca="false">Assumptions!B20*Assumptions!$D$5</f>
        <v>30000</v>
      </c>
      <c r="D37" s="12" t="n">
        <f aca="false">Assumptions!B21*Assumptions!$D$5</f>
        <v>75000</v>
      </c>
      <c r="E37" s="12" t="n">
        <f aca="false">Assumptions!B22*Assumptions!$D$5</f>
        <v>70000</v>
      </c>
      <c r="F37" s="12" t="n">
        <f aca="false">Assumptions!B23*Assumptions!$D$5</f>
        <v>95000</v>
      </c>
      <c r="G37" s="12" t="n">
        <f aca="false">Assumptions!B24*Assumptions!$D$5</f>
        <v>125000</v>
      </c>
      <c r="H37" s="13" t="n">
        <f aca="false">SUM(B37:G37)</f>
        <v>400000</v>
      </c>
    </row>
    <row r="38" customFormat="false" ht="15" hidden="false" customHeight="false" outlineLevel="0" collapsed="false">
      <c r="A38" s="4" t="s">
        <v>49</v>
      </c>
      <c r="B38" s="12" t="n">
        <f aca="false">B37*Assumptions!$D$6</f>
        <v>50</v>
      </c>
      <c r="C38" s="12" t="n">
        <f aca="false">C37*Assumptions!$D$6</f>
        <v>300</v>
      </c>
      <c r="D38" s="12" t="n">
        <f aca="false">D37*Assumptions!$D$6</f>
        <v>750</v>
      </c>
      <c r="E38" s="12" t="n">
        <f aca="false">E37*Assumptions!$D$6</f>
        <v>700</v>
      </c>
      <c r="F38" s="12" t="n">
        <f aca="false">F37*Assumptions!$D$6</f>
        <v>950</v>
      </c>
      <c r="G38" s="12" t="n">
        <f aca="false">G37*Assumptions!$D$6</f>
        <v>1250</v>
      </c>
      <c r="H38" s="13" t="n">
        <f aca="false">SUM(B38:G38)</f>
        <v>4000</v>
      </c>
    </row>
    <row r="39" customFormat="false" ht="15" hidden="false" customHeight="false" outlineLevel="0" collapsed="false">
      <c r="A39" s="4" t="s">
        <v>50</v>
      </c>
      <c r="B39" s="12" t="n">
        <f aca="false">B38*Assumptions!$D$7</f>
        <v>17.5</v>
      </c>
      <c r="C39" s="12" t="n">
        <f aca="false">C38*Assumptions!$D$7</f>
        <v>105</v>
      </c>
      <c r="D39" s="12" t="n">
        <f aca="false">D38*Assumptions!$D$7</f>
        <v>262.5</v>
      </c>
      <c r="E39" s="12" t="n">
        <f aca="false">E38*Assumptions!$D$7</f>
        <v>245</v>
      </c>
      <c r="F39" s="12" t="n">
        <f aca="false">F38*Assumptions!$D$7</f>
        <v>332.5</v>
      </c>
      <c r="G39" s="12" t="n">
        <f aca="false">G38*Assumptions!$D$7</f>
        <v>437.5</v>
      </c>
      <c r="H39" s="13" t="n">
        <f aca="false">SUM(B39:G39)</f>
        <v>1400</v>
      </c>
    </row>
    <row r="40" customFormat="false" ht="15" hidden="false" customHeight="false" outlineLevel="0" collapsed="false">
      <c r="A40" s="4" t="s">
        <v>51</v>
      </c>
      <c r="B40" s="12" t="n">
        <f aca="false">B39*(1-Assumptions!C19)</f>
        <v>17.5</v>
      </c>
      <c r="C40" s="12" t="n">
        <f aca="false">C39*(1-Assumptions!C20)</f>
        <v>73.5</v>
      </c>
      <c r="D40" s="12" t="n">
        <f aca="false">D39*(1-Assumptions!C21)</f>
        <v>131.25</v>
      </c>
      <c r="E40" s="12" t="n">
        <f aca="false">E39*(1-Assumptions!C22)</f>
        <v>122.5</v>
      </c>
      <c r="F40" s="12" t="n">
        <f aca="false">F39*(1-Assumptions!C23)</f>
        <v>166.25</v>
      </c>
      <c r="G40" s="12" t="n">
        <f aca="false">G39*(1-Assumptions!C24)</f>
        <v>218.75</v>
      </c>
      <c r="H40" s="13" t="n">
        <f aca="false">SUM(B40:G40)</f>
        <v>729.75</v>
      </c>
    </row>
    <row r="41" customFormat="false" ht="15" hidden="false" customHeight="false" outlineLevel="0" collapsed="false">
      <c r="A41" s="4" t="s">
        <v>52</v>
      </c>
      <c r="B41" s="14" t="n">
        <f aca="false">B40*Assumptions!$D$8*Assumptions!D19</f>
        <v>1.4</v>
      </c>
      <c r="C41" s="14" t="n">
        <f aca="false">C40*Assumptions!$D$8*Assumptions!D20</f>
        <v>6.468</v>
      </c>
      <c r="D41" s="14" t="n">
        <f aca="false">D40*Assumptions!$D$8*Assumptions!D21</f>
        <v>13.65</v>
      </c>
      <c r="E41" s="14" t="n">
        <f aca="false">E40*Assumptions!$D$8*Assumptions!D22</f>
        <v>8.82</v>
      </c>
      <c r="F41" s="14" t="n">
        <f aca="false">F40*Assumptions!$D$8*Assumptions!D23</f>
        <v>11.97</v>
      </c>
      <c r="G41" s="14" t="n">
        <f aca="false">G40*Assumptions!$D$8*Assumptions!D24</f>
        <v>17.5</v>
      </c>
      <c r="H41" s="15" t="n">
        <f aca="false">SUM(B41:G41)</f>
        <v>59.808</v>
      </c>
    </row>
    <row r="42" customFormat="false" ht="15" hidden="false" customHeight="false" outlineLevel="0" collapsed="false">
      <c r="A42" s="4" t="s">
        <v>53</v>
      </c>
      <c r="B42" s="16" t="n">
        <f aca="false">B41*Assumptions!$D$9*Assumptions!$D$10</f>
        <v>2.52</v>
      </c>
      <c r="C42" s="16" t="n">
        <f aca="false">C41*Assumptions!$D$9*Assumptions!$D$10</f>
        <v>11.6424</v>
      </c>
      <c r="D42" s="16" t="n">
        <f aca="false">D41*Assumptions!$D$9*Assumptions!$D$10</f>
        <v>24.57</v>
      </c>
      <c r="E42" s="16" t="n">
        <f aca="false">E41*Assumptions!$D$9*Assumptions!$D$10</f>
        <v>15.876</v>
      </c>
      <c r="F42" s="16" t="n">
        <f aca="false">F41*Assumptions!$D$9*Assumptions!$D$10</f>
        <v>21.546</v>
      </c>
      <c r="G42" s="16" t="n">
        <f aca="false">G41*Assumptions!$D$9*Assumptions!$D$10</f>
        <v>31.5</v>
      </c>
      <c r="H42" s="17" t="n">
        <f aca="false">SUM(B42:G42)</f>
        <v>107.6544</v>
      </c>
    </row>
    <row r="43" customFormat="false" ht="15" hidden="false" customHeight="false" outlineLevel="0" collapsed="false">
      <c r="A43" s="4" t="s">
        <v>54</v>
      </c>
      <c r="B43" s="12" t="n">
        <f aca="false">B39*Assumptions!C19</f>
        <v>0</v>
      </c>
      <c r="C43" s="12" t="n">
        <f aca="false">C39*Assumptions!C20</f>
        <v>31.5</v>
      </c>
      <c r="D43" s="12" t="n">
        <f aca="false">D39*Assumptions!C21</f>
        <v>131.25</v>
      </c>
      <c r="E43" s="12" t="n">
        <f aca="false">E39*Assumptions!C22</f>
        <v>122.5</v>
      </c>
      <c r="F43" s="12" t="n">
        <f aca="false">F39*Assumptions!C23</f>
        <v>166.25</v>
      </c>
      <c r="G43" s="12" t="n">
        <f aca="false">G39*Assumptions!C24</f>
        <v>218.75</v>
      </c>
      <c r="H43" s="13" t="n">
        <f aca="false">SUM(B43:G43)</f>
        <v>670.25</v>
      </c>
    </row>
    <row r="44" customFormat="false" ht="15" hidden="false" customHeight="false" outlineLevel="0" collapsed="false">
      <c r="A44" s="4" t="s">
        <v>55</v>
      </c>
      <c r="B44" s="14" t="n">
        <f aca="false">B43*Assumptions!$D$11*Assumptions!D19</f>
        <v>0</v>
      </c>
      <c r="C44" s="14" t="n">
        <f aca="false">C43*Assumptions!$D$11*Assumptions!D20</f>
        <v>1.0395</v>
      </c>
      <c r="D44" s="14" t="n">
        <f aca="false">D43*Assumptions!$D$11*Assumptions!D21</f>
        <v>5.11875</v>
      </c>
      <c r="E44" s="14" t="n">
        <f aca="false">E43*Assumptions!$D$11*Assumptions!D22</f>
        <v>3.3075</v>
      </c>
      <c r="F44" s="14" t="n">
        <f aca="false">F43*Assumptions!$D$11*Assumptions!D23</f>
        <v>4.48875</v>
      </c>
      <c r="G44" s="14" t="n">
        <f aca="false">G43*Assumptions!$D$11*Assumptions!D24</f>
        <v>6.5625</v>
      </c>
      <c r="H44" s="15" t="n">
        <f aca="false">SUM(B44:G44)</f>
        <v>20.517</v>
      </c>
    </row>
    <row r="45" customFormat="false" ht="15" hidden="false" customHeight="false" outlineLevel="0" collapsed="false">
      <c r="A45" s="4" t="s">
        <v>56</v>
      </c>
      <c r="B45" s="16" t="n">
        <f aca="false">B44*Assumptions!$D$12*Assumptions!$D$13</f>
        <v>0</v>
      </c>
      <c r="C45" s="16" t="n">
        <f aca="false">C44*Assumptions!$D$12*Assumptions!$D$13</f>
        <v>7.016625</v>
      </c>
      <c r="D45" s="16" t="n">
        <f aca="false">D44*Assumptions!$D$12*Assumptions!$D$13</f>
        <v>34.5515625</v>
      </c>
      <c r="E45" s="16" t="n">
        <f aca="false">E44*Assumptions!$D$12*Assumptions!$D$13</f>
        <v>22.325625</v>
      </c>
      <c r="F45" s="16" t="n">
        <f aca="false">F44*Assumptions!$D$12*Assumptions!$D$13</f>
        <v>30.2990625</v>
      </c>
      <c r="G45" s="16" t="n">
        <f aca="false">G44*Assumptions!$D$12*Assumptions!$D$13</f>
        <v>44.296875</v>
      </c>
      <c r="H45" s="17" t="n">
        <f aca="false">SUM(B45:G45)</f>
        <v>138.48975</v>
      </c>
    </row>
    <row r="46" customFormat="false" ht="15" hidden="false" customHeight="false" outlineLevel="0" collapsed="false">
      <c r="A46" s="11" t="s">
        <v>57</v>
      </c>
      <c r="B46" s="17" t="n">
        <f aca="false">B42+B45</f>
        <v>2.52</v>
      </c>
      <c r="C46" s="17" t="n">
        <f aca="false">C42+C45</f>
        <v>18.659025</v>
      </c>
      <c r="D46" s="17" t="n">
        <f aca="false">D42+D45</f>
        <v>59.1215625</v>
      </c>
      <c r="E46" s="17" t="n">
        <f aca="false">E42+E45</f>
        <v>38.201625</v>
      </c>
      <c r="F46" s="17" t="n">
        <f aca="false">F42+F45</f>
        <v>51.8450625</v>
      </c>
      <c r="G46" s="17" t="n">
        <f aca="false">G42+G45</f>
        <v>75.796875</v>
      </c>
      <c r="H46" s="17" t="n">
        <f aca="false">SUM(B46:G46)</f>
        <v>246.14415</v>
      </c>
    </row>
    <row r="47" customFormat="false" ht="15" hidden="false" customHeight="false" outlineLevel="0" collapsed="false">
      <c r="A47" s="4" t="s">
        <v>58</v>
      </c>
      <c r="B47" s="16" t="n">
        <f aca="false">Assumptions!$D$14</f>
        <v>23</v>
      </c>
      <c r="C47" s="16" t="n">
        <f aca="false">Assumptions!$D$14</f>
        <v>23</v>
      </c>
      <c r="D47" s="16" t="n">
        <f aca="false">Assumptions!$D$14</f>
        <v>23</v>
      </c>
      <c r="E47" s="16" t="n">
        <f aca="false">Assumptions!$D$14</f>
        <v>23</v>
      </c>
      <c r="F47" s="16" t="n">
        <f aca="false">Assumptions!$D$14</f>
        <v>23</v>
      </c>
      <c r="G47" s="16" t="n">
        <f aca="false">Assumptions!$D$14</f>
        <v>23</v>
      </c>
      <c r="H47" s="17" t="n">
        <f aca="false">SUM(B47:G47)</f>
        <v>138</v>
      </c>
    </row>
    <row r="48" customFormat="false" ht="15" hidden="false" customHeight="false" outlineLevel="0" collapsed="false">
      <c r="A48" s="11" t="s">
        <v>59</v>
      </c>
      <c r="B48" s="17" t="n">
        <f aca="false">B46-B47</f>
        <v>-20.48</v>
      </c>
      <c r="C48" s="17" t="n">
        <f aca="false">C46-C47</f>
        <v>-4.340975</v>
      </c>
      <c r="D48" s="17" t="n">
        <f aca="false">D46-D47</f>
        <v>36.1215625</v>
      </c>
      <c r="E48" s="17" t="n">
        <f aca="false">E46-E47</f>
        <v>15.201625</v>
      </c>
      <c r="F48" s="17" t="n">
        <f aca="false">F46-F47</f>
        <v>28.8450625</v>
      </c>
      <c r="G48" s="17" t="n">
        <f aca="false">G46-G47</f>
        <v>52.796875</v>
      </c>
      <c r="H48" s="17" t="n">
        <f aca="false">SUM(B48:G48)</f>
        <v>108.14415</v>
      </c>
    </row>
    <row r="49" customFormat="false" ht="15" hidden="false" customHeight="false" outlineLevel="0" collapsed="false">
      <c r="A49" s="4" t="s">
        <v>60</v>
      </c>
      <c r="B49" s="14" t="n">
        <f aca="false">SUM($B$41:B41)</f>
        <v>1.4</v>
      </c>
      <c r="C49" s="14" t="n">
        <f aca="false">SUM($B$41:C41)</f>
        <v>7.868</v>
      </c>
      <c r="D49" s="14" t="n">
        <f aca="false">SUM($B$41:D41)</f>
        <v>21.518</v>
      </c>
      <c r="E49" s="14" t="n">
        <f aca="false">SUM($B$41:E41)</f>
        <v>30.338</v>
      </c>
      <c r="F49" s="14" t="n">
        <f aca="false">SUM($B$41:F41)</f>
        <v>42.308</v>
      </c>
      <c r="G49" s="14" t="n">
        <f aca="false">SUM($B$41:G41)</f>
        <v>59.808</v>
      </c>
    </row>
    <row r="52" customFormat="false" ht="15" hidden="false" customHeight="false" outlineLevel="0" collapsed="false">
      <c r="A52" s="8" t="s">
        <v>63</v>
      </c>
    </row>
    <row r="53" customFormat="false" ht="15" hidden="false" customHeight="false" outlineLevel="0" collapsed="false">
      <c r="A53" s="11" t="s">
        <v>64</v>
      </c>
      <c r="B53" s="11" t="s">
        <v>65</v>
      </c>
      <c r="C53" s="11" t="s">
        <v>66</v>
      </c>
      <c r="D53" s="11" t="s">
        <v>67</v>
      </c>
    </row>
    <row r="54" customFormat="false" ht="15" hidden="false" customHeight="false" outlineLevel="0" collapsed="false">
      <c r="A54" s="4" t="s">
        <v>3</v>
      </c>
      <c r="B54" s="16" t="n">
        <f aca="false">H14</f>
        <v>0.6822864</v>
      </c>
      <c r="C54" s="16" t="n">
        <f aca="false">G14</f>
        <v>0.210375</v>
      </c>
      <c r="D54" s="16" t="n">
        <f aca="false">H16</f>
        <v>-137.3177136</v>
      </c>
    </row>
    <row r="55" customFormat="false" ht="15" hidden="false" customHeight="false" outlineLevel="0" collapsed="false">
      <c r="A55" s="4" t="s">
        <v>4</v>
      </c>
      <c r="B55" s="16" t="n">
        <f aca="false">H30</f>
        <v>15.75588</v>
      </c>
      <c r="C55" s="16" t="n">
        <f aca="false">G30</f>
        <v>4.85625</v>
      </c>
      <c r="D55" s="16" t="n">
        <f aca="false">H32</f>
        <v>-122.24412</v>
      </c>
    </row>
    <row r="56" customFormat="false" ht="15" hidden="false" customHeight="false" outlineLevel="0" collapsed="false">
      <c r="A56" s="4" t="s">
        <v>5</v>
      </c>
      <c r="B56" s="16" t="n">
        <f aca="false">H46</f>
        <v>246.14415</v>
      </c>
      <c r="C56" s="16" t="n">
        <f aca="false">G46</f>
        <v>75.796875</v>
      </c>
      <c r="D56" s="16" t="n">
        <f aca="false">H48</f>
        <v>108.14415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2026-10-12T11:56:40Z</dcterms:created>
  <dc:creator>openpyxl</dc:creator>
  <dc:description/>
  <dc:language>en-US</dc:language>
  <cp:lastModifiedBy/>
  <dcterms:modified xsi:type="dcterms:W3CDTF">2026-10-12T12:56:42Z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